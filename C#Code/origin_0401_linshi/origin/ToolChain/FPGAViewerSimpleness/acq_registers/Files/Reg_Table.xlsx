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Reg_Table" sheetId="1" r:id="rId1"/>
    <sheet name="示波器寄存器计算" sheetId="2" r:id="rId2"/>
  </sheets>
  <definedNames>
    <definedName name="_xlnm._FilterDatabase" localSheetId="0" hidden="1">Reg_Table!$A$1:$O$399</definedName>
  </definedNames>
  <calcPr calcId="144525"/>
</workbook>
</file>

<file path=xl/sharedStrings.xml><?xml version="1.0" encoding="utf-8"?>
<sst xmlns="http://schemas.openxmlformats.org/spreadsheetml/2006/main" count="3200" uniqueCount="1143">
  <si>
    <t>#寄存器名称</t>
  </si>
  <si>
    <t xml:space="preserve"> 基地址</t>
  </si>
  <si>
    <t xml:space="preserve"> 偏移地址</t>
  </si>
  <si>
    <t>偏移地址-十进制</t>
  </si>
  <si>
    <t xml:space="preserve"> 可读</t>
  </si>
  <si>
    <t xml:space="preserve"> 可写</t>
  </si>
  <si>
    <t xml:space="preserve"> 使能端口</t>
  </si>
  <si>
    <t xml:space="preserve"> 寄存器位宽</t>
  </si>
  <si>
    <t xml:space="preserve"> 板卡名称</t>
  </si>
  <si>
    <t xml:space="preserve"> 寄存器组</t>
  </si>
  <si>
    <t xml:space="preserve"> 硬件名称</t>
  </si>
  <si>
    <t xml:space="preserve"> 软件名称</t>
  </si>
  <si>
    <t xml:space="preserve"> 位说明</t>
  </si>
  <si>
    <t>ACQ_IDELAY_CTRL_RST</t>
  </si>
  <si>
    <t>0x9000</t>
  </si>
  <si>
    <t>Acq</t>
  </si>
  <si>
    <t>AcqSync</t>
  </si>
  <si>
    <t>IDelay_Ctrl_Reset</t>
  </si>
  <si>
    <t>1bit，Active high</t>
  </si>
  <si>
    <t>初始化复位一次</t>
  </si>
  <si>
    <t>EN_VTC</t>
  </si>
  <si>
    <t>IDelay_EN_VTC</t>
  </si>
  <si>
    <t>IDelay3模块VTC使能，初始化时拉高，作用是使延迟设置更准确</t>
  </si>
  <si>
    <t>in_delay_ce</t>
  </si>
  <si>
    <t>IDelay_ce</t>
  </si>
  <si>
    <t>上升沿使能IDelay模块的increment/decrement输入</t>
  </si>
  <si>
    <t>in_delay_inc</t>
  </si>
  <si>
    <t>IDelay_inc</t>
  </si>
  <si>
    <t>1bit，1：+1，0：-1</t>
  </si>
  <si>
    <t>IDelay模块的increment/decrement的输入，ce为1时，1为加(increment)，0为减(decrement)</t>
  </si>
  <si>
    <t>IO_RESET</t>
  </si>
  <si>
    <t>IDelay_IO_Reset</t>
  </si>
  <si>
    <t>ad5200_tmstp</t>
  </si>
  <si>
    <t>Adc</t>
  </si>
  <si>
    <t>AD5200_tmstp</t>
  </si>
  <si>
    <t>1bit</t>
  </si>
  <si>
    <t>现在没用</t>
  </si>
  <si>
    <t>ADC_Data_RX_CTRL</t>
  </si>
  <si>
    <t>ConfigEnable</t>
  </si>
  <si>
    <t>bit7：LMX2595B；
bit6：LMX2595A；
bit5：ADC5200</t>
  </si>
  <si>
    <t>spi配置总线的写使能，发完数据后，上升沿触发一次SPI读写，8bit，也就是先发送数据，然后对应位拉高</t>
  </si>
  <si>
    <t>ADC_miso_data</t>
  </si>
  <si>
    <t>ReadBackData</t>
  </si>
  <si>
    <t>8bits，ADC_miso_data</t>
  </si>
  <si>
    <t>ADC读回数据8bit,先写入地址数据
再从该寄存器读回数据</t>
  </si>
  <si>
    <t>ADC_SPI_CS_PC</t>
  </si>
  <si>
    <t>CS</t>
  </si>
  <si>
    <t>bit0：ADC1；
bit1：ADC2</t>
  </si>
  <si>
    <t>ADC片选，选择读写哪片ADC（最先写，一系列读写完成后该寄存器清零）</t>
  </si>
  <si>
    <t>ADC_SPI_data_H16</t>
  </si>
  <si>
    <t>DataCmdH16</t>
  </si>
  <si>
    <t>high_16bits_of_24bits</t>
  </si>
  <si>
    <t>16位有效。现有代码中传入的ommmand_16bit的高16位.由((0x001 &lt;&lt; 23) | (addr &lt;&lt; 16) | cmd);</t>
  </si>
  <si>
    <t>ADC_SPI_data_L8</t>
  </si>
  <si>
    <t>DataCmdL8</t>
  </si>
  <si>
    <t>low_8bits_of_24bits</t>
  </si>
  <si>
    <t>8位有效。现有代码中传入的ommmand_16bit的低8位.由((0x001 &lt;&lt; 23) | (addr &lt;&lt; 16) | cmd);</t>
  </si>
  <si>
    <t>ADCM_ADCS_PDWN</t>
  </si>
  <si>
    <t>PowerCtrl</t>
  </si>
  <si>
    <t>同时控制两片ADC，每片占1位，1=掉电，0=上电</t>
  </si>
  <si>
    <t>ch_mode</t>
  </si>
  <si>
    <t>CH_MODE</t>
  </si>
  <si>
    <t>AcqMode----SamplingMode</t>
  </si>
  <si>
    <t>2bits，00：GROUP A(double ch  10G)，
10：GROUP B(single ch1 20G)，
11： GROUP C(single ch2 20G)</t>
  </si>
  <si>
    <t>通道模式，初始化配置一次，目前单个采集板只有20G模式，也就是发送10</t>
  </si>
  <si>
    <t>clk_locked</t>
  </si>
  <si>
    <t>SysInfo</t>
  </si>
  <si>
    <t>AllPllLockedFlag</t>
  </si>
  <si>
    <t>1bit，1：Fpga_master_clock_lock</t>
  </si>
  <si>
    <t>回读fpga主时钟状态，1:表示fpga主时钟锁定</t>
  </si>
  <si>
    <t>ACQ_Data_Tx_CLK_RESET</t>
  </si>
  <si>
    <t>Data_To_PRO_CTRL</t>
  </si>
  <si>
    <t>CLK_RESET</t>
  </si>
  <si>
    <t>传输模块ODDR的复位，为高电平时复位，初始化时复位一次</t>
  </si>
  <si>
    <t>ACQ_Data_Tx_IO_RESET</t>
  </si>
  <si>
    <t>传输模块FDRE的复位，为高电平时复位，初始化时复位一次</t>
  </si>
  <si>
    <t>decimation_hd_ready</t>
  </si>
  <si>
    <t>Decimation</t>
  </si>
  <si>
    <t>HighDensityReady</t>
  </si>
  <si>
    <t>根据抽取比计算商余的完成信号，
1表明计算完成</t>
  </si>
  <si>
    <t>decimation_hd_H16</t>
  </si>
  <si>
    <t>HighDensity_H16</t>
  </si>
  <si>
    <t>high_14bits_of_30bits</t>
  </si>
  <si>
    <t>改变时基档时发送相应的抽取比，初始化时发送1，不抽取</t>
  </si>
  <si>
    <t>decimation_hd_L16</t>
  </si>
  <si>
    <t>HighDensity_L16</t>
  </si>
  <si>
    <t>low_16bits_of_30bits</t>
  </si>
  <si>
    <t>decimation_hr_ready</t>
  </si>
  <si>
    <t>HR_ready</t>
  </si>
  <si>
    <t>decimation_hr_H16</t>
  </si>
  <si>
    <t>HR_H16</t>
  </si>
  <si>
    <t>decimation_hr_L16</t>
  </si>
  <si>
    <t>HR_L16</t>
  </si>
  <si>
    <t>decimation_pk_ready</t>
  </si>
  <si>
    <t>Peak_Ready</t>
  </si>
  <si>
    <t>decimation_pk_H16</t>
  </si>
  <si>
    <t>Peak_H16</t>
  </si>
  <si>
    <t>decimation_pk_L16</t>
  </si>
  <si>
    <t>Peak_L16</t>
  </si>
  <si>
    <t>fifo_cnt_ren</t>
  </si>
  <si>
    <t>FifoCtrl</t>
  </si>
  <si>
    <t>ReadCountEnable</t>
  </si>
  <si>
    <t>fifo_block数据量回读使能，写0-1触发一次回读</t>
  </si>
  <si>
    <t>fifo_data_cnt</t>
  </si>
  <si>
    <t>DataCount</t>
  </si>
  <si>
    <t>11bits，cnt_of_fifo_data</t>
  </si>
  <si>
    <t>fifo_block数据量回读数据，先拉高FIFO回读数据量的使能，再从该寄存器回读数据量</t>
  </si>
  <si>
    <t>fifo_full_flg</t>
  </si>
  <si>
    <t>FullFlag</t>
  </si>
  <si>
    <t>触发模块串行FIFO编程满标志，
复位拉低</t>
  </si>
  <si>
    <t>prog_full_thresh</t>
  </si>
  <si>
    <t>FullProgDepth</t>
  </si>
  <si>
    <t>11bits，num_of_pts</t>
  </si>
  <si>
    <t>缓存FIFO的深度，最大为2048，目前初始化设为1024</t>
  </si>
  <si>
    <t>LMK00304_1_config</t>
  </si>
  <si>
    <t>PllConfig</t>
  </si>
  <si>
    <t>LMK00304Config1</t>
  </si>
  <si>
    <t>[1:0]：00304_1_output_mode，
00：LVPECL，01：LVDS，
10：HCSL，11：Hi-Z；
[3:2]：00304_1_clkin_sel，
00：CLKIN0，01：CLKIN1，1X：OSCIN</t>
  </si>
  <si>
    <t>lmk00304配置（电路中U21）只写一次，写9</t>
  </si>
  <si>
    <t>LMK00304_2_config</t>
  </si>
  <si>
    <t>LMK00304Config2</t>
  </si>
  <si>
    <t xml:space="preserve">[1:0]：00304_2_output_mode，
00：LVPECL，01：LVDS，
10：HCSL，11：Hi-Z           </t>
  </si>
  <si>
    <t>lmk00304配置（电路中U21）只写一次，写1</t>
  </si>
  <si>
    <t>jesd204b_core_reset</t>
  </si>
  <si>
    <t>JESD204B_CONFIG</t>
  </si>
  <si>
    <t>Reset</t>
  </si>
  <si>
    <t>同时控制所有jesd核复位，1有效，初始化5200后发送一次复位</t>
  </si>
  <si>
    <t>HMC7044Data_Effect</t>
  </si>
  <si>
    <t>7044写使能，写0-1触发一次读写，也就是先写0，之后写入数据，然后拉高完成一次读写</t>
  </si>
  <si>
    <t>HMC7044Data_H8</t>
  </si>
  <si>
    <t>high_8bits_of_24bits</t>
  </si>
  <si>
    <t>SPI写数据（共24bit，分高低位） 高8位</t>
  </si>
  <si>
    <t>HMC7044Data_L16</t>
  </si>
  <si>
    <t>low_16bits_of_24bits</t>
  </si>
  <si>
    <t>SPI写数据（共24bit，分高低位） 低16位</t>
  </si>
  <si>
    <t>LMX2595A_SPI_read</t>
  </si>
  <si>
    <t>LMX2595A_SpiReadBackData</t>
  </si>
  <si>
    <t>16bits，2595ReadBackData</t>
  </si>
  <si>
    <t>锁相环LMX2595A读回数据8bit</t>
  </si>
  <si>
    <t>LMX2595B_SPI_read</t>
  </si>
  <si>
    <t>LMX2595B_SpiReadBackData</t>
  </si>
  <si>
    <t>锁相环LMX2595B读回数据8bit</t>
  </si>
  <si>
    <t>read_7044_data</t>
  </si>
  <si>
    <t>HMC7044_SpiReadBackData</t>
  </si>
  <si>
    <t>8bits，read_7044_data</t>
  </si>
  <si>
    <t>锁相环HMC7044读回数据8bit</t>
  </si>
  <si>
    <t>FIFO_SYNC_DELAY_LOCKED</t>
  </si>
  <si>
    <t>SyncDataRxIDelayStatus</t>
  </si>
  <si>
    <t>LockFlag</t>
  </si>
  <si>
    <t>1bit，1：idelay_ready</t>
  </si>
  <si>
    <t>IDEALYCTRL模块的ready信号，
拉高表明IDELAY和ODELAY模块已经完成校准</t>
  </si>
  <si>
    <t>REN_CNTVALUEOUT</t>
  </si>
  <si>
    <t>ReadEanbleCount</t>
  </si>
  <si>
    <t>9bits，value_of_delay</t>
  </si>
  <si>
    <t>IDELAY模块延迟量的回读，指示当前来自处理板的FIFO读使能经过IDelay模块的延迟量</t>
  </si>
  <si>
    <t>RST_CNTVALUEOUT</t>
  </si>
  <si>
    <t>ResetCount</t>
  </si>
  <si>
    <t>IDELAY模块延迟量的回读，指示当前来自处理板的复位信号经过IDelay模块的延迟量</t>
  </si>
  <si>
    <t>WEN_CNTVALUEOUT</t>
  </si>
  <si>
    <t>WriteEnableCount</t>
  </si>
  <si>
    <t>IDELAY模块延迟量的回读，指示当前来自处理板的FIFO写使能经过IDelay模块的延迟量</t>
  </si>
  <si>
    <t>auto_trig_en</t>
  </si>
  <si>
    <t>TrigCtrl</t>
  </si>
  <si>
    <t>Mode</t>
  </si>
  <si>
    <t>1bit，1：auto_trig，0：normal_trig</t>
  </si>
  <si>
    <t>1：自动触发； 0：正常触发</t>
  </si>
  <si>
    <t>auto_trig_num</t>
  </si>
  <si>
    <t>Find_Range</t>
  </si>
  <si>
    <t>16bits，num_of_pts</t>
  </si>
  <si>
    <t>预触发满，触发未来时，
计数到该设置值后自动进行触发</t>
  </si>
  <si>
    <t>cmp_level_h</t>
  </si>
  <si>
    <t>CmpVlot_Up</t>
  </si>
  <si>
    <t>12bits，value_of_level</t>
  </si>
  <si>
    <t>12位上限的以12Bit之4096为基准，
2048表示0电平</t>
  </si>
  <si>
    <t>cmp_level_l</t>
  </si>
  <si>
    <t>CmpVlot_Dn</t>
  </si>
  <si>
    <t>12位下限的以12Bit之4096为基准，
2048表示0电平</t>
  </si>
  <si>
    <t>DGT_PreTrig</t>
  </si>
  <si>
    <t>Depth</t>
  </si>
  <si>
    <t>12bits，num_of_pts</t>
  </si>
  <si>
    <t>预触发深度值，最大4096</t>
  </si>
  <si>
    <t>DGT_Trig_sel</t>
  </si>
  <si>
    <t>Serial_trig_Source_sel</t>
  </si>
  <si>
    <t>1bit，0：current_board  1：another_board</t>
  </si>
  <si>
    <t>0：选择本板触发；1：选择另一块板触发</t>
  </si>
  <si>
    <t>edge_trig_chs</t>
  </si>
  <si>
    <t>FallOrRiase</t>
  </si>
  <si>
    <t>1bit，1：rising edge，0：falling edge</t>
  </si>
  <si>
    <t>1：上升沿触发；0：下降沿触发</t>
  </si>
  <si>
    <t>edge_trig_num</t>
  </si>
  <si>
    <t>Edge_trig_num</t>
  </si>
  <si>
    <t>7bits，position_of_trig</t>
  </si>
  <si>
    <t>触发位置回读，其十进制值表示触发信号
来源于20路数据的哪一路数据</t>
  </si>
  <si>
    <t>serial_prog_full_thresh</t>
  </si>
  <si>
    <t>AcqSerialFIFODepth</t>
  </si>
  <si>
    <t>采集板串行FIFO深度，最大16384，
目前初始化设为16000</t>
  </si>
  <si>
    <t>serial_trig_en</t>
  </si>
  <si>
    <t>Serial_trig_en</t>
  </si>
  <si>
    <t>1bit，1：trig_en  0：trig_off</t>
  </si>
  <si>
    <t>1：触发使能 ；0：关闭</t>
  </si>
  <si>
    <t>compare_level_h</t>
  </si>
  <si>
    <t>TrigCtrl-&gt;Digital</t>
  </si>
  <si>
    <t>Compare_level_h</t>
  </si>
  <si>
    <t>compare_level_l</t>
  </si>
  <si>
    <t>Compare_level_l</t>
  </si>
  <si>
    <t>digital_compare_level_h</t>
  </si>
  <si>
    <t>digital_compare_level_l</t>
  </si>
  <si>
    <t>Digital_Trig_Source</t>
  </si>
  <si>
    <t>Source_USB</t>
  </si>
  <si>
    <t>0：channel1，1：channel2
（后续可能有其他的通道加入）</t>
  </si>
  <si>
    <t>数字触发源选择，信号是迟滞比较后产生的新的状态信号，
用于数字边沿触发（USB）</t>
  </si>
  <si>
    <t>trig_div_sel</t>
  </si>
  <si>
    <t>Div_sel</t>
  </si>
  <si>
    <t xml:space="preserve"> </t>
  </si>
  <si>
    <t>1:选择分频后的触发信号，
模拟通道通过比较器得到的信号</t>
  </si>
  <si>
    <t>TRIG_NB7V52M_RST</t>
  </si>
  <si>
    <t>NB7V52M_RST</t>
  </si>
  <si>
    <t>TRIG_READY</t>
  </si>
  <si>
    <t>READY</t>
  </si>
  <si>
    <t>trig_source_sel</t>
  </si>
  <si>
    <t>Source_sel</t>
  </si>
  <si>
    <t>0：channel1，1：channel2</t>
  </si>
  <si>
    <t>数字触发源选择</t>
  </si>
  <si>
    <t>trig_type_sel</t>
  </si>
  <si>
    <t>OutputType_sel</t>
  </si>
  <si>
    <t>触发输出选择</t>
  </si>
  <si>
    <t>code_range_sel</t>
  </si>
  <si>
    <t>TrigCtrl-&gt;Code</t>
  </si>
  <si>
    <t>Range_sel</t>
  </si>
  <si>
    <t>001：&lt;；010：&gt;；011：=；100：！=</t>
  </si>
  <si>
    <t>脉宽比较符</t>
  </si>
  <si>
    <t>code_trig_ctrl_word</t>
  </si>
  <si>
    <t>Ctrl_word</t>
  </si>
  <si>
    <t>[8:6]：8种情况，独热码，
0 = 无关  1 = 有关    
[5:3]：设定的逻辑比较值；
[1:0]：逻辑比较符，选and,or,nor,nand；
[2]：极性设置</t>
  </si>
  <si>
    <t>code_width_set_0</t>
  </si>
  <si>
    <t>Width0</t>
  </si>
  <si>
    <t>code_width_set_1</t>
  </si>
  <si>
    <t>Width1</t>
  </si>
  <si>
    <t>0：[15:0]，1：[31:16]</t>
  </si>
  <si>
    <t>码型持续时间，以4ns为单位的个数</t>
  </si>
  <si>
    <t>trig_dropout_func</t>
  </si>
  <si>
    <t>TrigCtrl-&gt;Dropout</t>
  </si>
  <si>
    <t>FuncSel</t>
  </si>
  <si>
    <t>0：无双沿刷新；1：有双沿刷新</t>
  </si>
  <si>
    <t>跌落刷新极性选择</t>
  </si>
  <si>
    <t>trig_dropout_polarity_sel</t>
  </si>
  <si>
    <t>Polarity</t>
  </si>
  <si>
    <t>0：上升沿；1：下降沿</t>
  </si>
  <si>
    <t>跌落极性选择</t>
  </si>
  <si>
    <t>trig_dropout_width0</t>
  </si>
  <si>
    <t>[15：0]</t>
  </si>
  <si>
    <t>跌落宽度，以4ns为单位的个数</t>
  </si>
  <si>
    <t>trig_dropout_width1</t>
  </si>
  <si>
    <t>[31：16]</t>
  </si>
  <si>
    <t>跌落宽度</t>
  </si>
  <si>
    <t>trig_dropout_width2</t>
  </si>
  <si>
    <t>Width2</t>
  </si>
  <si>
    <t>[32]</t>
  </si>
  <si>
    <t>trig_edge_polar</t>
  </si>
  <si>
    <t>TrigCtrl-&gt;Edge</t>
  </si>
  <si>
    <t>边沿极性选择</t>
  </si>
  <si>
    <t>trig_ete_capture_polar</t>
  </si>
  <si>
    <t>TrigCtrl-&gt;EdgeThenEdge</t>
  </si>
  <si>
    <t>CapturePolarity</t>
  </si>
  <si>
    <t>捕捉信号极性</t>
  </si>
  <si>
    <t>trig_ete_event</t>
  </si>
  <si>
    <t>EventType</t>
  </si>
  <si>
    <t>0：时间计数；1：个数计数</t>
  </si>
  <si>
    <t>以时间进行计数或者以捕获沿个数进行计数</t>
  </si>
  <si>
    <t>trig_ete_launch_polar</t>
  </si>
  <si>
    <t>LaunchPolarity</t>
  </si>
  <si>
    <t>选通信号极性</t>
  </si>
  <si>
    <t>trig_ete_number0</t>
  </si>
  <si>
    <t>Number0</t>
  </si>
  <si>
    <t>个数设置</t>
  </si>
  <si>
    <t>trig_ete_number1</t>
  </si>
  <si>
    <t>Number1</t>
  </si>
  <si>
    <t>trig_ete_number2</t>
  </si>
  <si>
    <t>Number2</t>
  </si>
  <si>
    <t>trig_ete_time0</t>
  </si>
  <si>
    <t>Time0</t>
  </si>
  <si>
    <t>时间设置，以4ns为单位的个数</t>
  </si>
  <si>
    <t>trig_ete_time1</t>
  </si>
  <si>
    <t>Time1</t>
  </si>
  <si>
    <t>时间设置</t>
  </si>
  <si>
    <t>trig_ete_time2</t>
  </si>
  <si>
    <t>Time2</t>
  </si>
  <si>
    <t>gli_func_sel</t>
  </si>
  <si>
    <t>TrigCtrl-&gt;Glitch</t>
  </si>
  <si>
    <t>Condition</t>
  </si>
  <si>
    <t>0：&lt;；1：&gt;</t>
  </si>
  <si>
    <t>毛刺条件设置</t>
  </si>
  <si>
    <t>gli_width_set0</t>
  </si>
  <si>
    <t>0：[15:0]</t>
  </si>
  <si>
    <t>gli_width_set1</t>
  </si>
  <si>
    <t>1：[31:16]</t>
  </si>
  <si>
    <t>gli_width_set2</t>
  </si>
  <si>
    <t>2：[32]</t>
  </si>
  <si>
    <t>毛刺时间设置，以4ns为单位的个数</t>
  </si>
  <si>
    <t>trig_interval_func</t>
  </si>
  <si>
    <t>TrigCtrl-&gt;Interval</t>
  </si>
  <si>
    <t>0：大于；1：小于；2：等于；3：不等于</t>
  </si>
  <si>
    <t>trig_interval_polarity_sel</t>
  </si>
  <si>
    <t>间隔极性选择</t>
  </si>
  <si>
    <t>trig_interval_width0</t>
  </si>
  <si>
    <t>间隔时间</t>
  </si>
  <si>
    <t>trig_interval_width1</t>
  </si>
  <si>
    <t>trig_interval_width2</t>
  </si>
  <si>
    <t>间隔时间，以4ns为单位的个数</t>
  </si>
  <si>
    <t>TRIG_F_IO</t>
  </si>
  <si>
    <t>ReadbackData1</t>
  </si>
  <si>
    <t>发往dsp_interface</t>
  </si>
  <si>
    <t>TRIG_IO</t>
  </si>
  <si>
    <t>ReadbackData2</t>
  </si>
  <si>
    <t>trig_pw_func_sel</t>
  </si>
  <si>
    <t>TrigCtrl-&gt;PulseWidth</t>
  </si>
  <si>
    <t>0 = (实际脉宽)大于(设置值)；
1 = 小于；
2 = 等于；
3 = 小于或大于；</t>
  </si>
  <si>
    <t>比较限定符选择</t>
  </si>
  <si>
    <t>trig_pw_polarity_sel</t>
  </si>
  <si>
    <t>0 = 正脉冲；
1 = 负脉冲；</t>
  </si>
  <si>
    <t>脉冲极性选择</t>
  </si>
  <si>
    <t>trig_pw_width_set_0</t>
  </si>
  <si>
    <t>trig_pw_width_set0</t>
  </si>
  <si>
    <t xml:space="preserve">脉冲宽度
</t>
  </si>
  <si>
    <t>trig_pw_width_set1</t>
  </si>
  <si>
    <t>trig_pw_width_set2</t>
  </si>
  <si>
    <t xml:space="preserve">脉冲宽度，以4ns为单位的个数
</t>
  </si>
  <si>
    <t>runt_func_sel</t>
  </si>
  <si>
    <t>TrigCtrl-&gt;Runt</t>
  </si>
  <si>
    <t>00：无关；01：&lt;；10：&gt;；11：=</t>
  </si>
  <si>
    <t>低两位：脉宽触发条件设置；
高位：欠幅极性设置0：负欠幅</t>
  </si>
  <si>
    <t>runt_width_set_0</t>
  </si>
  <si>
    <t>runt_width_set_1</t>
  </si>
  <si>
    <t>runt_width_set_2</t>
  </si>
  <si>
    <t>欠幅脉宽时间设置，以4ns为单位的个数</t>
  </si>
  <si>
    <t>setup_hold_ctrl_word</t>
  </si>
  <si>
    <t>TrigCtrl-&gt;Setuphold</t>
  </si>
  <si>
    <t>Type</t>
  </si>
  <si>
    <t xml:space="preserve">0：setup，1:hold </t>
  </si>
  <si>
    <t>低位：建立/保持选择，
 高位：时钟极性选择</t>
  </si>
  <si>
    <t>setup_hold_time_0</t>
  </si>
  <si>
    <t>Time_0</t>
  </si>
  <si>
    <t>setup_hold_time_1</t>
  </si>
  <si>
    <t>Time_1</t>
  </si>
  <si>
    <t>窗口时间，超出这个窗口时间，发生违例</t>
  </si>
  <si>
    <t>trig_slope_func_sel</t>
  </si>
  <si>
    <t>TrigCtrl-&gt;Slope</t>
  </si>
  <si>
    <t>PolarityAndCondition</t>
  </si>
  <si>
    <t>[2]：1 = 上升沿；
0 = 下降沿；[1：0]：00 = (实际时间宽度)大于(设置值)；
01 = 小于；
10 = 等于；
11 = 不等于；</t>
  </si>
  <si>
    <t>选择有效沿极性和选择比较限定符</t>
  </si>
  <si>
    <t>trig_slope_width_set0</t>
  </si>
  <si>
    <t>trig_slope_width_set</t>
  </si>
  <si>
    <t>时间宽度</t>
  </si>
  <si>
    <t>trig_slope_width_set1</t>
  </si>
  <si>
    <t>trig_slope_width_set2</t>
  </si>
  <si>
    <t>时间宽度，以4ns为单位的个数</t>
  </si>
  <si>
    <t>state_trig_ctrl_word</t>
  </si>
  <si>
    <t>TrigCtrl-&gt;State</t>
  </si>
  <si>
    <t>CtrlWord</t>
  </si>
  <si>
    <t>[0]: 设置触发类型,0 = 输入满足逻辑 1 = 输入不满足逻辑 ；
[6:2]：设定比较逻辑；  [11:7]：通道相关选择,
0 = 无关 1 = 有关,但注意时钟通道对应的相关选择无效；  
[14:12]：时钟通道选择,4=外触发,3=ch4,2=ch3,1=ch2,0=ch1	；
  [1]：决定时钟通道在上升沿还是下降沿触发,
0 = 上升沿触发,1 = 下降沿触发</t>
  </si>
  <si>
    <t>trig_timeout_func</t>
  </si>
  <si>
    <t>TrigCtrl-&gt;Timeout</t>
  </si>
  <si>
    <t>LevelType</t>
  </si>
  <si>
    <t>0 = 保持低电平；
1 = 保持高电平；</t>
  </si>
  <si>
    <t>超时电压选择</t>
  </si>
  <si>
    <t>trig_timeout_width0</t>
  </si>
  <si>
    <t>超时宽度，以4ns为单位的个数</t>
  </si>
  <si>
    <t>trig_timeout_width1</t>
  </si>
  <si>
    <t>超时宽度</t>
  </si>
  <si>
    <t>trig_timeout_width2</t>
  </si>
  <si>
    <t>trig_video_custom_horizontal</t>
  </si>
  <si>
    <t>TrigCtrl-&gt;Video</t>
  </si>
  <si>
    <t>CustomHorizontal</t>
  </si>
  <si>
    <t>行设置</t>
  </si>
  <si>
    <t>trig_video_mode</t>
  </si>
  <si>
    <t>Standard</t>
  </si>
  <si>
    <t>0：NTSC制式，480i；
1: PAL制式,SECAM制式,576i；
2: 480P制式；3: 576P制式；
4: 720P制式；5: 原来是875i制式，
这里不需要，改成CUSTOM；
6: 1080I制式；7: 1080P制式</t>
  </si>
  <si>
    <t>trig_video_sync_number</t>
  </si>
  <si>
    <t>SyncNumber</t>
  </si>
  <si>
    <t>行数</t>
  </si>
  <si>
    <t>trig_video_tri_mode</t>
  </si>
  <si>
    <t>TrigMode</t>
  </si>
  <si>
    <t>000=所有行；001=指定行；010：偶数场；011：奇数场；100：所有场</t>
  </si>
  <si>
    <t>触发模式</t>
  </si>
  <si>
    <t>write_flg</t>
  </si>
  <si>
    <t>TIADC_calibration</t>
  </si>
  <si>
    <t>Write_flg</t>
  </si>
  <si>
    <t>1：写系数，0：读取系数</t>
  </si>
  <si>
    <t>TIADC_cali_en</t>
  </si>
  <si>
    <t>Enable</t>
  </si>
  <si>
    <t>1：校正，0：直通</t>
  </si>
  <si>
    <t>Qn_r_from_pc</t>
  </si>
  <si>
    <t>low_14bits_of_16bits</t>
  </si>
  <si>
    <t>滤波器系数实部数据</t>
  </si>
  <si>
    <t>Qn_i_from_pc</t>
  </si>
  <si>
    <t>滤波器系数虚部数据</t>
  </si>
  <si>
    <t>TIADC_wr_addr</t>
  </si>
  <si>
    <t>Wr_addr</t>
  </si>
  <si>
    <t>10bits，addr_of_factor when write mode</t>
  </si>
  <si>
    <t>将滤波器系数写进ram时的地址</t>
  </si>
  <si>
    <t>TIADC_ram_sel</t>
  </si>
  <si>
    <t>Ram_sel</t>
  </si>
  <si>
    <t xml:space="preserve">10bits，high_2_bits select the group of the ram，low_8_bits select the ram of the group </t>
  </si>
  <si>
    <t>写滤波系数的片选信号</t>
  </si>
  <si>
    <t>TIADC_wen</t>
  </si>
  <si>
    <t>Wen</t>
  </si>
  <si>
    <t>1bit，Active posedge</t>
  </si>
  <si>
    <t>写系数操作的控制使能，上升沿有效</t>
  </si>
  <si>
    <t>TIADC_test_in</t>
  </si>
  <si>
    <t>Test_in</t>
  </si>
  <si>
    <t>12bits，data_in of test mode</t>
  </si>
  <si>
    <t>测试模式下的输入数据</t>
  </si>
  <si>
    <t>TIADC_test_addr</t>
  </si>
  <si>
    <t>Test_addr</t>
  </si>
  <si>
    <t>14bits，addr of data_in of test mode</t>
  </si>
  <si>
    <t>测试模式下将输入数据写入测试ram时的地址</t>
  </si>
  <si>
    <t>TIADC_test_in_en</t>
  </si>
  <si>
    <t>Test_in_en</t>
  </si>
  <si>
    <t>测试模式下输入数据的使能</t>
  </si>
  <si>
    <t>TIADC_test_mode_en</t>
  </si>
  <si>
    <t>Test_mode_en</t>
  </si>
  <si>
    <t>测试模式的控制使能</t>
  </si>
  <si>
    <t>config_flash_SS</t>
  </si>
  <si>
    <t>FPGAFlashUpdater</t>
  </si>
  <si>
    <t>SS</t>
  </si>
  <si>
    <t>通过SPI总线往来传输数据时为1，关闭SPI总线时为0，参照Flash命令时序图</t>
  </si>
  <si>
    <t>config_flash_SpiClock</t>
  </si>
  <si>
    <t>SpiClock</t>
  </si>
  <si>
    <t>独热码，指定SPI的时钟</t>
  </si>
  <si>
    <t>config_flash_WriteData</t>
  </si>
  <si>
    <t>WriteData</t>
  </si>
  <si>
    <t>传向FLASH的数据，每次8Bit</t>
  </si>
  <si>
    <t>config_flash_WriteStart</t>
  </si>
  <si>
    <t>WriteStart</t>
  </si>
  <si>
    <t>启动先Flash的数据传输，每次8Bit，等待的时间与SPIClock有关。先WriteData，然后启动传输，之后关闭</t>
  </si>
  <si>
    <t>config_flash_ReadData</t>
  </si>
  <si>
    <t>ReadData</t>
  </si>
  <si>
    <t>Flash返回的数据，每次8Bit</t>
  </si>
  <si>
    <t>config_flash_ReadStart</t>
  </si>
  <si>
    <t>ReadStart</t>
  </si>
  <si>
    <t>启动接收Flash的数据，等待时间与SPIClock有关。先启动，等待，读数，然后关闭</t>
  </si>
  <si>
    <t>mult_factor_wd_high</t>
  </si>
  <si>
    <t>Interpolate</t>
  </si>
  <si>
    <t>FactorTableData_H</t>
  </si>
  <si>
    <t>MSB_of_17bits</t>
  </si>
  <si>
    <t>插值滤波器系数，最高位</t>
  </si>
  <si>
    <t>mult_factor_wd_low</t>
  </si>
  <si>
    <t>FactorTableData_L16</t>
  </si>
  <si>
    <t>low_16bits_of_17bits</t>
  </si>
  <si>
    <t>插值滤波器系数，低16位</t>
  </si>
  <si>
    <t>mult_factor_wa</t>
  </si>
  <si>
    <t>FactorTableAddr</t>
  </si>
  <si>
    <t>10bits，num_of_data</t>
  </si>
  <si>
    <t>连续自然数</t>
  </si>
  <si>
    <t>mult_factor_wen</t>
  </si>
  <si>
    <t>FactorTable_WriteEnable</t>
  </si>
  <si>
    <t>先发送数据，然后拉高使能完成一次系数发送，每次发系数前拉低，发完系数拉高</t>
  </si>
  <si>
    <t>reset_dsp</t>
  </si>
  <si>
    <t>FactorTableReset</t>
  </si>
  <si>
    <t>高有效：等于1时复位，
发送系数前复位1次</t>
  </si>
  <si>
    <t>inter_en</t>
  </si>
  <si>
    <t>1bit,   Active high</t>
  </si>
  <si>
    <t>等于1时打开插值，等于0时关闭插值</t>
  </si>
  <si>
    <t>interp_mul</t>
  </si>
  <si>
    <t>Rate</t>
  </si>
  <si>
    <t>8bits, num of interpolation rate</t>
  </si>
  <si>
    <t>八位自然数，最大插值倍率为200，所以需要八位位宽
20Gsps模式下的插值倍率：2/4/5/10/20/25/50/100
10Gsps模式下的插值倍率：4/8/10/20/40/50/100/200</t>
  </si>
  <si>
    <t>P2S_speed_ctrl</t>
  </si>
  <si>
    <t>P2S</t>
  </si>
  <si>
    <t>OutSpeed</t>
  </si>
  <si>
    <t>8bits, num of the speed of data_out</t>
  </si>
  <si>
    <t>八位自然数， 并串转换模块出数速率，取决于下一级模块的进数速度要求</t>
  </si>
  <si>
    <t>fir_filter_en</t>
  </si>
  <si>
    <t>FIR_CONFIG</t>
  </si>
  <si>
    <t>FILTER_EN</t>
  </si>
  <si>
    <r>
      <rPr>
        <sz val="11"/>
        <color theme="1"/>
        <rFont val="等线"/>
        <charset val="134"/>
        <scheme val="minor"/>
      </rPr>
      <t>1</t>
    </r>
    <r>
      <rPr>
        <sz val="10.5"/>
        <color theme="1"/>
        <rFont val="等线"/>
        <charset val="134"/>
        <scheme val="minor"/>
      </rPr>
      <t>：开启滤波功能, 0：数据不滤波器，直通输出  （程序运行中根据需求进行选择是否开启）</t>
    </r>
  </si>
  <si>
    <t>fir_filter_wen</t>
  </si>
  <si>
    <t>FACTOR_WEN</t>
  </si>
  <si>
    <t>1bit，Active positive edge</t>
  </si>
  <si>
    <r>
      <rPr>
        <sz val="11"/>
        <color theme="1"/>
        <rFont val="等线"/>
        <charset val="134"/>
        <scheme val="minor"/>
      </rPr>
      <t>先发送数据，然后拉高使能完成一次系数发送。FPGA</t>
    </r>
    <r>
      <rPr>
        <sz val="10.5"/>
        <color theme="1"/>
        <rFont val="等线"/>
        <charset val="134"/>
        <scheme val="minor"/>
      </rPr>
      <t>检测FIR_FACTOR_WEN的上升沿进行系数存储（初始化时发送系数使用）</t>
    </r>
  </si>
  <si>
    <t>fir_filter_wa</t>
  </si>
  <si>
    <t>FACTOR_WA</t>
  </si>
  <si>
    <t>10bits， filter factor address</t>
  </si>
  <si>
    <r>
      <rPr>
        <sz val="11"/>
        <color theme="1"/>
        <rFont val="等线"/>
        <charset val="134"/>
        <scheme val="minor"/>
      </rPr>
      <t>FIR</t>
    </r>
    <r>
      <rPr>
        <sz val="10.5"/>
        <color theme="1"/>
        <rFont val="等线"/>
        <charset val="134"/>
        <scheme val="minor"/>
      </rPr>
      <t>滤波部分系数下发的地址指针，不需要分组（初始化时发送系数使用，位宽需能满足滤波器阶数的计数位宽）</t>
    </r>
  </si>
  <si>
    <t>fir_filter_wd_l16</t>
  </si>
  <si>
    <t>FACTOR_WD_L</t>
  </si>
  <si>
    <t>16bits，The lower 16 bits of the 17-bit filter data</t>
  </si>
  <si>
    <t>滤波器系数低16位（初始化时发送系数使用）</t>
  </si>
  <si>
    <t>fir_filter_wd_h1</t>
  </si>
  <si>
    <t>FACTOR_WD_H</t>
  </si>
  <si>
    <t>1bits，The highest 1 bits of the 17-bit filter data</t>
  </si>
  <si>
    <t>滤波器系数高1位（初始化时发送系数使用）</t>
  </si>
  <si>
    <t>acq_read_wreg_addr</t>
  </si>
  <si>
    <t>RegMonitor</t>
  </si>
  <si>
    <t>RegAddress</t>
  </si>
  <si>
    <t>read back write-register</t>
  </si>
  <si>
    <t>读回下发寄存器的值</t>
  </si>
  <si>
    <t>acq_read_wreg_data</t>
  </si>
  <si>
    <t>ReadbackValue</t>
  </si>
  <si>
    <t xml:space="preserve">acq_version_comment_word0  </t>
  </si>
  <si>
    <t>VersionInfo</t>
  </si>
  <si>
    <t xml:space="preserve">CommentWord0  </t>
  </si>
  <si>
    <t>256bits_info</t>
  </si>
  <si>
    <t>版本信息，备注</t>
  </si>
  <si>
    <t xml:space="preserve">acq_version_comment_word1  </t>
  </si>
  <si>
    <t xml:space="preserve">CommentWord1  </t>
  </si>
  <si>
    <t xml:space="preserve">acq_version_comment_word10 </t>
  </si>
  <si>
    <t xml:space="preserve">CommentWord10 </t>
  </si>
  <si>
    <t xml:space="preserve">acq_version_comment_word11 </t>
  </si>
  <si>
    <t xml:space="preserve">CommentWord11 </t>
  </si>
  <si>
    <t xml:space="preserve">acq_version_comment_word12 </t>
  </si>
  <si>
    <t xml:space="preserve">CommentWord12 </t>
  </si>
  <si>
    <t xml:space="preserve">acq_version_comment_word13 </t>
  </si>
  <si>
    <t xml:space="preserve">CommentWord13 </t>
  </si>
  <si>
    <t xml:space="preserve">acq_version_comment_word14 </t>
  </si>
  <si>
    <t xml:space="preserve">CommentWord14 </t>
  </si>
  <si>
    <t xml:space="preserve">acq_version_comment_word15 </t>
  </si>
  <si>
    <t xml:space="preserve">CommentWord15 </t>
  </si>
  <si>
    <t xml:space="preserve">acq_version_comment_word2  </t>
  </si>
  <si>
    <t xml:space="preserve">CommentWord2  </t>
  </si>
  <si>
    <t xml:space="preserve">acq_version_comment_word3  </t>
  </si>
  <si>
    <t xml:space="preserve">CommentWord3  </t>
  </si>
  <si>
    <t xml:space="preserve">acq_version_comment_word4  </t>
  </si>
  <si>
    <t xml:space="preserve">CommentWord4  </t>
  </si>
  <si>
    <t xml:space="preserve">acq_version_comment_word5  </t>
  </si>
  <si>
    <t xml:space="preserve">CommentWord5  </t>
  </si>
  <si>
    <t xml:space="preserve">acq_version_comment_word6  </t>
  </si>
  <si>
    <t xml:space="preserve">CommentWord6  </t>
  </si>
  <si>
    <t xml:space="preserve">acq_version_comment_word7  </t>
  </si>
  <si>
    <t xml:space="preserve">CommentWord7  </t>
  </si>
  <si>
    <t xml:space="preserve">acq_version_comment_word8  </t>
  </si>
  <si>
    <t xml:space="preserve">CommentWord8  </t>
  </si>
  <si>
    <t xml:space="preserve">acq_version_comment_word9  </t>
  </si>
  <si>
    <t xml:space="preserve">CommentWord9  </t>
  </si>
  <si>
    <t xml:space="preserve">acq_version_designer_word0 </t>
  </si>
  <si>
    <t xml:space="preserve">DesignerWord0 </t>
  </si>
  <si>
    <t>64bits_info</t>
  </si>
  <si>
    <t>版本信息，设计者</t>
  </si>
  <si>
    <t xml:space="preserve">acq_version_designer_word1 </t>
  </si>
  <si>
    <t xml:space="preserve">DesignerWord1 </t>
  </si>
  <si>
    <t xml:space="preserve">acq_version_designer_word2 </t>
  </si>
  <si>
    <t xml:space="preserve">DesignerWord2 </t>
  </si>
  <si>
    <t xml:space="preserve">acq_version_designer_word3 </t>
  </si>
  <si>
    <t xml:space="preserve">DesignerWord3 </t>
  </si>
  <si>
    <t xml:space="preserve">acq_version_time_word0     </t>
  </si>
  <si>
    <t xml:space="preserve">CompileTimeWord0     </t>
  </si>
  <si>
    <t>low_16bits_of_32bits</t>
  </si>
  <si>
    <t>版本信息，编译时间</t>
  </si>
  <si>
    <t xml:space="preserve">acq_version_time_word1     </t>
  </si>
  <si>
    <t xml:space="preserve">CompileTimeWord1     </t>
  </si>
  <si>
    <t>high_16bits_of_32bits</t>
  </si>
  <si>
    <t xml:space="preserve">acq_version_version_word0  </t>
  </si>
  <si>
    <t xml:space="preserve">VersionWord0  </t>
  </si>
  <si>
    <t>版本信息，版本号</t>
  </si>
  <si>
    <t xml:space="preserve">acq_version_version_word1  </t>
  </si>
  <si>
    <t xml:space="preserve">VersionWord1  </t>
  </si>
  <si>
    <t>acq_reg_read_back</t>
  </si>
  <si>
    <t>WorkOKTest</t>
  </si>
  <si>
    <t>16bits_data</t>
  </si>
  <si>
    <t>16位数据，由此寄存器写入，再由此寄存器读出，两者数据一致，表明上电OK。</t>
  </si>
  <si>
    <t>pcie_fast_en</t>
  </si>
  <si>
    <t>0X0000</t>
  </si>
  <si>
    <t>Pcie</t>
  </si>
  <si>
    <t>DDR_CTRL</t>
  </si>
  <si>
    <t>Fast_Enable</t>
  </si>
  <si>
    <t>只有1位的状态控制，
置1表示使能快速传输</t>
  </si>
  <si>
    <t>pcie_dpx_en</t>
  </si>
  <si>
    <t>DPX_CTRL</t>
  </si>
  <si>
    <t>只有1位的状态控制，
置1表示打开dpx功能</t>
  </si>
  <si>
    <t>data_rx_fifo_empty_thresh</t>
  </si>
  <si>
    <t>FIFO_CTRL</t>
  </si>
  <si>
    <t>ProgEmpty</t>
  </si>
  <si>
    <t>14bits，num_of_pts</t>
  </si>
  <si>
    <t>给pcie_fifo空数据量</t>
  </si>
  <si>
    <t>data_rx_fifo_full</t>
  </si>
  <si>
    <t>pcie缓存FIFO编程满标志</t>
  </si>
  <si>
    <t>data_rx_fifo_full_thresh</t>
  </si>
  <si>
    <t>给pcie_fifo预满数据量，
最大为16384，初始化值为12288</t>
  </si>
  <si>
    <t>pcie_read_fifo_numbers</t>
  </si>
  <si>
    <t>RD_Num</t>
  </si>
  <si>
    <t>DMA读取pcie每个FIFO的
数据量,初始化值为16000</t>
  </si>
  <si>
    <t>ds18b20_rst</t>
  </si>
  <si>
    <t>RST_CTRL</t>
  </si>
  <si>
    <t>Temp_Reset</t>
  </si>
  <si>
    <t>pcie板卡温度监测复位，上升沿有效，
在读取温度数据前，先做复位处理。</t>
  </si>
  <si>
    <t>pcie_reset</t>
  </si>
  <si>
    <t>PcieReset</t>
  </si>
  <si>
    <t>pcie板卡复位，不输出到处理板，
初始化时复位，上升沿有效</t>
  </si>
  <si>
    <t>sys_reset</t>
  </si>
  <si>
    <t>SysResetFromPcie</t>
  </si>
  <si>
    <t>上升沿有效，初始化时给采集板、
处理板和pcie复位</t>
  </si>
  <si>
    <t>data_rx_io_CNTVALUEIN3</t>
  </si>
  <si>
    <t>SyncDataRxIDelay</t>
  </si>
  <si>
    <t>Cnt3</t>
  </si>
  <si>
    <t>5bits，value_of_delay</t>
  </si>
  <si>
    <t>延迟量设置，最大为31，
延迟量等于设置值×78ps</t>
  </si>
  <si>
    <t>data_rx_io_IN_DELAY_DATA_CE3</t>
  </si>
  <si>
    <t>CE3</t>
  </si>
  <si>
    <t>上升沿使能IDelay模块
的increment/decrement输入</t>
  </si>
  <si>
    <t>data_rx_io_IN_DELAY_RESET</t>
  </si>
  <si>
    <t>Set_Effect</t>
  </si>
  <si>
    <t>拉高生效.先设置数据，然后拉高生效。</t>
  </si>
  <si>
    <t>data_rx_io_reset</t>
  </si>
  <si>
    <t>RxIOReset</t>
  </si>
  <si>
    <t>IDelaycCrl模块复位，高电平复位，
初始化时复位一次</t>
  </si>
  <si>
    <t>CPCI1_POWER_LOAD_EN</t>
  </si>
  <si>
    <t>0x8038</t>
  </si>
  <si>
    <t>PowerManager</t>
  </si>
  <si>
    <t>ProcBoard_Power</t>
  </si>
  <si>
    <t>处理板上电控制，初始化时发送FF上电</t>
  </si>
  <si>
    <t>ds18b20_data</t>
  </si>
  <si>
    <t>Temperature</t>
  </si>
  <si>
    <t>16bits_temp_data</t>
  </si>
  <si>
    <t>pcie板卡温度数据，在读取温度数据前，
先做复位处理</t>
  </si>
  <si>
    <t>chn_4094_en</t>
  </si>
  <si>
    <t>0x804C</t>
  </si>
  <si>
    <t>ANALOG_CH_CTRL</t>
  </si>
  <si>
    <t>4094_TransStart</t>
  </si>
  <si>
    <t>使能后将传给4094的40位数据传递给通道板的单片机 延时要满足通过SPI将40位的数据传输完毕，与传输该数据的SPI的Clock有关。先发送40位的数据给FPGA，然后拉高，延时足够的时间，然后拉低。为上升沿有效。</t>
  </si>
  <si>
    <t>chn_4094_data_L32</t>
  </si>
  <si>
    <t>0x8050</t>
  </si>
  <si>
    <t>chn_4094_data_L_32</t>
  </si>
  <si>
    <t>4094Data_L32</t>
  </si>
  <si>
    <t>low_32bits_of_44bits</t>
  </si>
  <si>
    <t>使能后将传给4094的44位数据 之低32位，最低8位控制通道的高低阻态和直通衰减，参照模拟通道控制文档</t>
  </si>
  <si>
    <t>chn_4094_data_H12</t>
  </si>
  <si>
    <t>0x8054</t>
  </si>
  <si>
    <t>4094Data_H12</t>
  </si>
  <si>
    <t>high_12bits_of_44bits</t>
  </si>
  <si>
    <t>使能后将传给4094的44位数据 之高12位，最低8位控制通道的高低阻态和直通衰减，参照模拟通道控制文档</t>
  </si>
  <si>
    <t>ad5628_sel</t>
  </si>
  <si>
    <t>0x8058</t>
  </si>
  <si>
    <t>ad5668_sel</t>
  </si>
  <si>
    <t>DAC_Sel</t>
  </si>
  <si>
    <t>不同DAC的选择,同时还需要配置不同的端口，偏值电压、基线移动、参考电平、等模拟触发电平需要选择不同的DAC，参照模拟通道控制文档。</t>
  </si>
  <si>
    <t>ad5628_start</t>
  </si>
  <si>
    <t>0x805C</t>
  </si>
  <si>
    <t>ad5668_start</t>
  </si>
  <si>
    <t>DAC_TransStart</t>
  </si>
  <si>
    <t>上升沿开始传输。然后根据SPI的传输速度传输32位数据等待足够的时间，然后拉低。需要与DAC_Enable_CS一起联动。</t>
  </si>
  <si>
    <t>ad5628_data</t>
  </si>
  <si>
    <t>0x8060</t>
  </si>
  <si>
    <t>ad5668_data</t>
  </si>
  <si>
    <t>DAC_ConfigData</t>
  </si>
  <si>
    <t>32bits_data</t>
  </si>
  <si>
    <t>配置给DAC的数据，是按照位域拼合成的。ConfigWord = 0x00030000u | (Port &lt;&lt; 12);ConfigWord &lt;&lt;= 8;ConfigWord |= Data &lt;&lt; 4;</t>
  </si>
  <si>
    <t>ad5628_en</t>
  </si>
  <si>
    <t>0x8064</t>
  </si>
  <si>
    <t>ad5668_en</t>
  </si>
  <si>
    <t>DAC_Enable_CS</t>
  </si>
  <si>
    <t>该控制是确定片选使能。在启动FPGA端数据传输到通道单片机之前，片选使能拉高。传输完成后拉低。</t>
  </si>
  <si>
    <t>pcie_read_wreg_addr</t>
  </si>
  <si>
    <t>pcie_read_wreg_data</t>
  </si>
  <si>
    <t xml:space="preserve">pcie_version_comment_word0   </t>
  </si>
  <si>
    <t xml:space="preserve">pcie_version_comment_word1   </t>
  </si>
  <si>
    <t xml:space="preserve">pcie_version_comment_word10  </t>
  </si>
  <si>
    <t xml:space="preserve">pcie_version_comment_word11  </t>
  </si>
  <si>
    <t xml:space="preserve">pcie_version_comment_word12  </t>
  </si>
  <si>
    <t xml:space="preserve">pcie_version_comment_word13  </t>
  </si>
  <si>
    <t xml:space="preserve">pcie_version_comment_word14  </t>
  </si>
  <si>
    <t xml:space="preserve">pcie_version_comment_word15  </t>
  </si>
  <si>
    <t xml:space="preserve">pcie_version_comment_word2   </t>
  </si>
  <si>
    <t xml:space="preserve">pcie_version_comment_word3   </t>
  </si>
  <si>
    <t xml:space="preserve">pcie_version_comment_word4   </t>
  </si>
  <si>
    <t xml:space="preserve">pcie_version_comment_word5   </t>
  </si>
  <si>
    <t xml:space="preserve">pcie_version_comment_word6   </t>
  </si>
  <si>
    <t xml:space="preserve">pcie_version_comment_word7   </t>
  </si>
  <si>
    <t xml:space="preserve">pcie_version_comment_word8   </t>
  </si>
  <si>
    <t xml:space="preserve">pcie_version_comment_word9   </t>
  </si>
  <si>
    <t xml:space="preserve">pcie_version_designer_word0  </t>
  </si>
  <si>
    <t xml:space="preserve">pcie_version_designer_word1  </t>
  </si>
  <si>
    <t xml:space="preserve">pcie_version_designer_word2  </t>
  </si>
  <si>
    <t xml:space="preserve">pcie_version_designer_word3  </t>
  </si>
  <si>
    <t xml:space="preserve">pcie_version_time_word0      </t>
  </si>
  <si>
    <t xml:space="preserve">pcie_version_time_word1      </t>
  </si>
  <si>
    <t xml:space="preserve">pcie_version_version_word0   </t>
  </si>
  <si>
    <t xml:space="preserve">pcie_version_version_word1   </t>
  </si>
  <si>
    <t>pcie_reg_read_back</t>
  </si>
  <si>
    <t>AcqBoardPowerCtrl</t>
  </si>
  <si>
    <t>0x8800</t>
  </si>
  <si>
    <t>Pro</t>
  </si>
  <si>
    <t>bit0：CPCI1_POWER_LOAD_EN 
bit1：CPCI1_FPGA_LOAD_EN 
bit2：CPCI2_POWER_LOAD_EN 
bit3：CPCI2_FPGA_LOAD_EN 
bit4：CPCI3_POWER_LOAD_EN 
bit5：CPCI3_FPGA_LOAD_EN 
bit6：CPCI4_POWER_LOAD_EN 
bit7：CPCI4_FPGA_LOAD_EN</t>
  </si>
  <si>
    <t>00 断电, FF上电</t>
  </si>
  <si>
    <t>ACQ_DCLK_locked</t>
  </si>
  <si>
    <t>AllAcqDclkLocked</t>
  </si>
  <si>
    <t>读取FPGA内部pll（主时钟）锁定，
1表示已锁定</t>
  </si>
  <si>
    <t>CRYSTAL_CLK_locked</t>
  </si>
  <si>
    <t>CrystalClkCocked</t>
  </si>
  <si>
    <t>读取FPGA内部pll（CRYSTAL_CLK）
锁定，1表示已锁定</t>
  </si>
  <si>
    <t>Data_Tx_CLK_RESET</t>
  </si>
  <si>
    <t>Data2Pcie</t>
  </si>
  <si>
    <t>ResetTxClk</t>
  </si>
  <si>
    <t>传输模块ODDR的复位，为高电平时复位</t>
  </si>
  <si>
    <t>Data_Tx_IO_RESET</t>
  </si>
  <si>
    <t>ResetTxIO</t>
  </si>
  <si>
    <t>传输模块FDRE的复位，为高电平时复位，
初始化复位一次</t>
  </si>
  <si>
    <t>RST_DCM_control</t>
  </si>
  <si>
    <t>DCM_CTRL</t>
  </si>
  <si>
    <t>RST</t>
  </si>
  <si>
    <t>8bits，bit2：ACQ_7044_SYNC，other bits：no use</t>
  </si>
  <si>
    <t>第3位用作采集板7044同步引脚，其余位未使用</t>
  </si>
  <si>
    <t>fast_en</t>
  </si>
  <si>
    <t>1bit，1：normal，0：ddr</t>
  </si>
  <si>
    <t>ddr模式开关 ，1为普通模式，0为ddr模式</t>
  </si>
  <si>
    <t>dpx_cnt_screen</t>
  </si>
  <si>
    <t>0X8800</t>
  </si>
  <si>
    <t>Dpo</t>
  </si>
  <si>
    <t>cnt_screen</t>
  </si>
  <si>
    <t>FrameCount</t>
  </si>
  <si>
    <t>8bit dpx映射幅数</t>
  </si>
  <si>
    <t>dpx_decimation</t>
  </si>
  <si>
    <t>ExtractNum</t>
  </si>
  <si>
    <t>4bit后抽倍数</t>
  </si>
  <si>
    <t>DECODE_DATA_FIFO_RST</t>
  </si>
  <si>
    <t>dpx_en</t>
  </si>
  <si>
    <t>0：三维映射关闭；
1：三维映射使能</t>
  </si>
  <si>
    <t xml:space="preserve"> DECODE_DATA0</t>
  </si>
  <si>
    <t>dpx_map_dmax</t>
  </si>
  <si>
    <t>map_dmax</t>
  </si>
  <si>
    <t>Map_dmax</t>
  </si>
  <si>
    <t>8bit dpx内最大灰度值</t>
  </si>
  <si>
    <t>DECODE_DATA0_H</t>
  </si>
  <si>
    <t>dpx_mode</t>
  </si>
  <si>
    <t>ModeOfDotOrVector</t>
  </si>
  <si>
    <t>0：dot；1：vector</t>
  </si>
  <si>
    <t xml:space="preserve"> DECODE_DATA1</t>
  </si>
  <si>
    <t>dpx_out_en</t>
  </si>
  <si>
    <t>Out_en_ctrl_word</t>
  </si>
  <si>
    <t>0：不进行灰度数据传输；
1：进行灰度数据传输</t>
  </si>
  <si>
    <t>DECODE_DATA1_H</t>
  </si>
  <si>
    <t>dpx_state</t>
  </si>
  <si>
    <t>Status</t>
  </si>
  <si>
    <t>7bit dpx状态机状态</t>
  </si>
  <si>
    <t>暂时无用</t>
  </si>
  <si>
    <t xml:space="preserve"> DECODE_DATA2</t>
  </si>
  <si>
    <t>dpx_sys_clr</t>
  </si>
  <si>
    <t>sys_clr</t>
  </si>
  <si>
    <t>Sys_clr_n</t>
  </si>
  <si>
    <t>0：系统复位；
1：不进行复位</t>
  </si>
  <si>
    <t>不确定是否与其他系统复位复用，上电仅发送一次</t>
  </si>
  <si>
    <t>DECODE_DATA2_H</t>
  </si>
  <si>
    <t>dpx_time_over</t>
  </si>
  <si>
    <t>time_over</t>
  </si>
  <si>
    <t>Time_over_ctrl_word</t>
  </si>
  <si>
    <t>0：计时未到；
1：计时超时</t>
  </si>
  <si>
    <t xml:space="preserve"> DECODE_DATA3</t>
  </si>
  <si>
    <t>digital_trig_en</t>
  </si>
  <si>
    <t>DigitalTrigEnable</t>
  </si>
  <si>
    <t>0：数字触发关闭；
1：数字触发使能</t>
  </si>
  <si>
    <t>可以与其他部分的数字触发使能复用</t>
  </si>
  <si>
    <t>DECODE_DATA3_H</t>
  </si>
  <si>
    <t>dpx_pro_reset</t>
  </si>
  <si>
    <t>pro_reset</t>
  </si>
  <si>
    <t>0：不进行复位；
1：复位输出行列</t>
  </si>
  <si>
    <t>不确定新的送显方式是否仍需要，保留</t>
  </si>
  <si>
    <t xml:space="preserve"> DECODE_DATA4</t>
  </si>
  <si>
    <t>interp_s</t>
  </si>
  <si>
    <t>InterpolatorEnable</t>
  </si>
  <si>
    <t>0：插值；1：非插值</t>
  </si>
  <si>
    <t>DECODE_DATA4_H</t>
  </si>
  <si>
    <t>parallel_fifo_threshold</t>
  </si>
  <si>
    <t>ParallelFifoDepth</t>
  </si>
  <si>
    <t>7bit 并行fifo可编程满深度</t>
  </si>
  <si>
    <t xml:space="preserve"> DECODE_DATA5</t>
  </si>
  <si>
    <t>DSP_fifo_start</t>
  </si>
  <si>
    <t>WriteEnable</t>
  </si>
  <si>
    <t xml:space="preserve"> 0-&gt;1 上升沿 复位，当该写使能有效并且采集板数据有效，
采集板FIFO未满时，采集板FIFO的写使能才有效，
每次采集时，先发一次0，
再发一次1表明本次采集开始写入FIFO</t>
  </si>
  <si>
    <t>DECODE_DATA5_H</t>
  </si>
  <si>
    <t>pro_fifo_depth</t>
  </si>
  <si>
    <t>处理板软件Fifo深度，最大16384，
初始化发送值为12288</t>
  </si>
  <si>
    <t xml:space="preserve"> DECODE_DATA6</t>
  </si>
  <si>
    <t>prog_fifo_full_all</t>
  </si>
  <si>
    <t>处理板软件FIFO变成满标志，
复位拉低</t>
  </si>
  <si>
    <t>DECODE_DATA6_H</t>
  </si>
  <si>
    <t>soft_fifo_data_count</t>
  </si>
  <si>
    <t>WritedCount</t>
  </si>
  <si>
    <t>回读软件FIFO中存入的数据量</t>
  </si>
  <si>
    <t>CNTVALUEIN3</t>
  </si>
  <si>
    <t>PRO_CNTVALUEIN3</t>
  </si>
  <si>
    <t>CNTVALUEIN5</t>
  </si>
  <si>
    <t>PRO_CNTVALUEIN5</t>
  </si>
  <si>
    <t>Cnt5</t>
  </si>
  <si>
    <t>IN_DELAY_DATA_CE3</t>
  </si>
  <si>
    <t>PRO_IN_DELAY_DATA_CE3</t>
  </si>
  <si>
    <t>上升沿使能IDelay模块的increment/decrement输入，
当IN_DELAY_RESET有效时，该使能无效</t>
  </si>
  <si>
    <t>IN_DELAY_DATA_CE5</t>
  </si>
  <si>
    <t>PRO_IN_DELAY_DATA_CE5</t>
  </si>
  <si>
    <t>CE5</t>
  </si>
  <si>
    <t>IN_DELAY_RESET</t>
  </si>
  <si>
    <t>PRO_IN_DELAY_RESET</t>
  </si>
  <si>
    <t>SetEffect</t>
  </si>
  <si>
    <t>PRO_Data_rx_io_reset</t>
  </si>
  <si>
    <t>auto_status</t>
  </si>
  <si>
    <t>Triger</t>
  </si>
  <si>
    <t>AutoStatus</t>
  </si>
  <si>
    <t>发往软件用于显示触发状态</t>
  </si>
  <si>
    <t>DECODE_DATA8_H</t>
  </si>
  <si>
    <t>cali_trig_delay_en</t>
  </si>
  <si>
    <t>Cali_trig_delay_en</t>
  </si>
  <si>
    <t>1：calibrate</t>
  </si>
  <si>
    <t>校正参数使能，当使能有效时，修正数才起作用</t>
  </si>
  <si>
    <t xml:space="preserve"> DECODE_DATA9</t>
  </si>
  <si>
    <t>PRO_tri_force</t>
  </si>
  <si>
    <t>1：force triger</t>
  </si>
  <si>
    <t>无论是否产生触发，都输出一个强制触发信号，
显示一帧波形</t>
  </si>
  <si>
    <t>DECODE_DATA9_H</t>
  </si>
  <si>
    <t>ready_status</t>
  </si>
  <si>
    <t xml:space="preserve"> DECODE_DATAa</t>
  </si>
  <si>
    <t>tri_holdoff_time_0</t>
  </si>
  <si>
    <t>DECODE_DATAa_H</t>
  </si>
  <si>
    <t>tri_holdoff_time_1</t>
  </si>
  <si>
    <t>触发释抑参数， 触发释抑这段时间内不响应触发，
释抑结束后马上响应下一个触发沿</t>
  </si>
  <si>
    <t>FIRST_RD_ADDR</t>
  </si>
  <si>
    <t>trig_auto</t>
  </si>
  <si>
    <t>1：auto triger，0： single triger</t>
  </si>
  <si>
    <t>是否选择了自动触发模式，
当一定时间内没有产生触发时，
屏幕强制产生触发信号，刷新波形</t>
  </si>
  <si>
    <t>FIRST_RD_ADDR_D2</t>
  </si>
  <si>
    <t>trig_cali_value</t>
  </si>
  <si>
    <t>校正参数，设定的校正时间，触发信号到来之后继续
读FIFO，用于修正实际触发点的固定偏移</t>
  </si>
  <si>
    <t>LAST_RD_ADDR</t>
  </si>
  <si>
    <t>trig_posdepth_set0</t>
  </si>
  <si>
    <t>LAST_RD_ADDR_D2</t>
  </si>
  <si>
    <t>trig_posdepth_set1</t>
  </si>
  <si>
    <t>NEW_DATA_READY</t>
  </si>
  <si>
    <t>trig_posdepth_set2</t>
  </si>
  <si>
    <t>2：[47:32]</t>
  </si>
  <si>
    <t>后触发深度，以4ns为单位的个数</t>
  </si>
  <si>
    <t>NEW_DATA_READY_D2</t>
  </si>
  <si>
    <t>trig_predepth_set0</t>
  </si>
  <si>
    <t>DECODE_SET_RAM_PREDEPTH</t>
  </si>
  <si>
    <t>trig_predepth_set1</t>
  </si>
  <si>
    <t>DECODE_RAM_SEL</t>
  </si>
  <si>
    <t>trig_predepth_set2</t>
  </si>
  <si>
    <t>2：[43:32]</t>
  </si>
  <si>
    <t>预触发深度，调节触发点在屏幕中的位置</t>
  </si>
  <si>
    <t>trig_reset_n</t>
  </si>
  <si>
    <t xml:space="preserve">0：active </t>
  </si>
  <si>
    <t>软件复位或DPX复位</t>
  </si>
  <si>
    <t>DECODE_TRIG_ADD_D2</t>
  </si>
  <si>
    <t>trigged_status</t>
  </si>
  <si>
    <t>DECODE_RAM_RST</t>
  </si>
  <si>
    <t>decode_data_fifo_rst</t>
  </si>
  <si>
    <t>Decoder</t>
  </si>
  <si>
    <t>FifoReset</t>
  </si>
  <si>
    <t>缓存解码数据包异步FIFO复位信号，在每次存取解码数据前复位一次 高有效</t>
  </si>
  <si>
    <t>缓存解码数据包异步FIFO复位信号，
在每次取存取解码数据前复位一次</t>
  </si>
  <si>
    <t>decode_data0</t>
  </si>
  <si>
    <t>Data0</t>
  </si>
  <si>
    <t>触发值（单个触发值时使用这个）</t>
  </si>
  <si>
    <t>decode_data0_H</t>
  </si>
  <si>
    <t>Data0_H</t>
  </si>
  <si>
    <t>触发值（当触发条件需要上限值和下限值时，这里作为上限值）</t>
  </si>
  <si>
    <t>decode_data1</t>
  </si>
  <si>
    <t>Data1</t>
  </si>
  <si>
    <t>decode_data1_H</t>
  </si>
  <si>
    <t>Data1_H</t>
  </si>
  <si>
    <t>decode_data2</t>
  </si>
  <si>
    <t>Data2</t>
  </si>
  <si>
    <t>decode_data2_H</t>
  </si>
  <si>
    <t>Data2_H</t>
  </si>
  <si>
    <t>decode_data3</t>
  </si>
  <si>
    <t>Data3</t>
  </si>
  <si>
    <t>decode_data3_H</t>
  </si>
  <si>
    <t>Data3_H</t>
  </si>
  <si>
    <t>decode_data4</t>
  </si>
  <si>
    <t>Data4</t>
  </si>
  <si>
    <t>decode_data4_H</t>
  </si>
  <si>
    <t>Data4_H</t>
  </si>
  <si>
    <t>decode_data5</t>
  </si>
  <si>
    <t>Data5</t>
  </si>
  <si>
    <t>decode_data5_H</t>
  </si>
  <si>
    <t>Data5_H</t>
  </si>
  <si>
    <t>decode_data6</t>
  </si>
  <si>
    <t>Data6</t>
  </si>
  <si>
    <t>decode_data6_H</t>
  </si>
  <si>
    <t>Data6_H</t>
  </si>
  <si>
    <t>decode_data7</t>
  </si>
  <si>
    <t>Data7</t>
  </si>
  <si>
    <t>decode_data7_H</t>
  </si>
  <si>
    <t>Data7_H</t>
  </si>
  <si>
    <t>decode_data8</t>
  </si>
  <si>
    <t>Data8</t>
  </si>
  <si>
    <t>decode_data8_H</t>
  </si>
  <si>
    <t>Data8_H</t>
  </si>
  <si>
    <t>decode_data9</t>
  </si>
  <si>
    <t>Data9</t>
  </si>
  <si>
    <t>decode_data9_H</t>
  </si>
  <si>
    <t>Data9_H</t>
  </si>
  <si>
    <t>decode_dataa</t>
  </si>
  <si>
    <t>DataA</t>
  </si>
  <si>
    <t>decode_dataa_H</t>
  </si>
  <si>
    <t>DataA_H</t>
  </si>
  <si>
    <t>decode_ram_first_rd_addr_d1</t>
  </si>
  <si>
    <t>RAM_FIRST_RD_ADDR_D1</t>
  </si>
  <si>
    <t>第一个解码包的地址（fpga第一个写操作地址）</t>
  </si>
  <si>
    <t>decode_ram_first_rd_addr_d2</t>
  </si>
  <si>
    <t>RAM_FIRST_RD_ADDR_D2</t>
  </si>
  <si>
    <t>decode_ram_last_rd_addr_d1</t>
  </si>
  <si>
    <t>RAM_LAST_RD_ADDR_D1</t>
  </si>
  <si>
    <t>最后一个包的最后一个16bit的地址（fpga最后一个写操作地址）</t>
  </si>
  <si>
    <t>最后一个包的最后一个16bit的地址
（fpga最后一个写操作地址）</t>
  </si>
  <si>
    <t>decode_ram_last_rd_addr_d2</t>
  </si>
  <si>
    <t>RAM_LAST_RD_ADDR_D2</t>
  </si>
  <si>
    <t>decode_ram_new_rd_addr_d1</t>
  </si>
  <si>
    <t>RAM_NEW_RD_ADDR_D1</t>
  </si>
  <si>
    <t>NEW_DATA_READY[0]=1：fpga已经向总线写入新数据，软件可以开启dma读取数据</t>
  </si>
  <si>
    <t>NEW_DATA_READY[0]=1：fpga已经向总线
写入新数据，软件可以开启dma读取数据</t>
  </si>
  <si>
    <t>decode_ram_new_rd_addr_d2</t>
  </si>
  <si>
    <t>RAM_NEW_RD_ADDR_D2</t>
  </si>
  <si>
    <t>NEW_DATA_READY[0]=1：fpga已经向总线写入新数据，
软件可以开启dma读取数据</t>
  </si>
  <si>
    <t>decode_ram_predepth</t>
  </si>
  <si>
    <t>RAM_PREDEPTH</t>
  </si>
  <si>
    <t>预触发深度</t>
  </si>
  <si>
    <t>decode_ram_sel</t>
  </si>
  <si>
    <t>RAM_SEL</t>
  </si>
  <si>
    <t>暂无选择功能  发1就行</t>
  </si>
  <si>
    <t>RAM选择，暂时为1选择RAM1，
对应通道1</t>
  </si>
  <si>
    <t>decode_ram_trig_addr_d1</t>
  </si>
  <si>
    <t>TrigPackagePostion_D1</t>
  </si>
  <si>
    <t>RAM1中触发包的位置</t>
  </si>
  <si>
    <t>decode_ram_trig_addr_d2</t>
  </si>
  <si>
    <t>TrigPackagePostion_D2</t>
  </si>
  <si>
    <t>RAM2中触发包的位置</t>
  </si>
  <si>
    <t>decode_rst</t>
  </si>
  <si>
    <t>RAM_Reset</t>
  </si>
  <si>
    <t>解码复位，所有解码包读取完后要发一次复位RAM 高有效</t>
  </si>
  <si>
    <t>解码复位，所有解码包读取完后
要发一次复位RAM</t>
  </si>
  <si>
    <t>protocol_decode_or_trigger</t>
  </si>
  <si>
    <t>decode_or_trigger</t>
  </si>
  <si>
    <t>TrigOrDecodeMode</t>
  </si>
  <si>
    <t>选择解码或触发功能1：解码        0：触发</t>
  </si>
  <si>
    <t>选择解码或触发功能</t>
  </si>
  <si>
    <t>protocol_dsp_rdram_en</t>
  </si>
  <si>
    <t>dsp_rdram_en</t>
  </si>
  <si>
    <t>RAM_ReadEnanle</t>
  </si>
  <si>
    <t>RAM读使能 1:打开    0：关闭</t>
  </si>
  <si>
    <t>RAM读使能</t>
  </si>
  <si>
    <t>protocol_dsp_set_B1</t>
  </si>
  <si>
    <t>PROTOCOL_DSP_SET_B1</t>
  </si>
  <si>
    <t>解码通道选择 1就打开</t>
  </si>
  <si>
    <t>解码通道选择</t>
  </si>
  <si>
    <t>protocol_dsp_set_B2</t>
  </si>
  <si>
    <t>PROTOCOL_DSP_SET_B2</t>
  </si>
  <si>
    <t>protocol_dsp_wrram_en</t>
  </si>
  <si>
    <t>dsp_wrram_en</t>
  </si>
  <si>
    <t>RAM_WriteEnable</t>
  </si>
  <si>
    <t>RAM写使能 1:打开    0：关闭</t>
  </si>
  <si>
    <t>RAM写使能</t>
  </si>
  <si>
    <t>protocol_fifo_ram_sel</t>
  </si>
  <si>
    <t>fifo_ram_sel</t>
  </si>
  <si>
    <t>FIFO_RAM_SEL</t>
  </si>
  <si>
    <t>传输数据解码包 1：fifo        0：ram</t>
  </si>
  <si>
    <t>传输数据解码包</t>
  </si>
  <si>
    <t>protocol_rst</t>
  </si>
  <si>
    <t>ResetAfterParamChanged</t>
  </si>
  <si>
    <t>协议复位，每次重新发送协议控制字时要发一次 高有效</t>
  </si>
  <si>
    <t>协议复位，每次重新发送协议控制字
时要发一次</t>
  </si>
  <si>
    <t>protocol_source_sel_h</t>
  </si>
  <si>
    <t>SignalSource_H</t>
  </si>
  <si>
    <t>protocol_source_sel_l</t>
  </si>
  <si>
    <t>SignalSource_L</t>
  </si>
  <si>
    <t xml:space="preserve">输入通道选择控制字 从低位开始，每5位代表通道1-6的信号来源。5位数的大小对应4个模拟通道+16个数字通道。（值1-4代表模拟通道1-4，值6-21代表数字通道1-16）
</t>
  </si>
  <si>
    <t>输入通道选择控制字</t>
  </si>
  <si>
    <t>protocol_trig_ctrl_word0</t>
  </si>
  <si>
    <t>TrigCtrlWod0</t>
  </si>
  <si>
    <t xml:space="preserve">I2C:  
set[20]:      地址长度        0：7bit     1：10bit  
set[19:18]:   地址位          10bit的高2位地址
set[17:10]:   地址位          低8位地址，若是7bit地址则占用低7位
set[9:8]:     触发方式        00：等于     01：大于    10：小于    11：不相等
set[7:6]:     读写控制        0：写       1：读    set[6]是读写位   set[7]为1时表示读写均可
set[5:3]:     数据字节长度    001到101代表1-5字节
set[2:0]:     触发条件        0：启动 1：重启  2：停止  3：丢失确认 4：地址  5：数据  6：地址/数据
RS232：
set[32]:      信号类型        0：单端  1：差分
set[31:30]:   数据长度        0-3对应5-8bit
set[29:28]:   奇偶校验        0：无校验   1：偶校验   0：奇校验
set[27]:      停止位长度      0：1bit   1：2bit     
set[26]:      位序            0：msb    1：lsb
set[25]:      极性            0：负    1：正
set[24:2]:    波特率          应该根据传输速率发送传输1bit所需系统时钟数（系统时钟为250MHz）=250M/baud_rate
set[1:0]:     触发条件        0：帧起始  1：校验错  2/3：数据  
SPI：  
set[44:27]:   空闲时间        =空闲时间/系统时钟周期（4ns）  最后单位化为ns   
set[16:19]:   触发数据长度    =帧位宽（bit）*帧数 - 1
set[18]:      成帧模式        0：CS  1:空闲
set[17]:      片选电平        0：负  1：正
set[16]:      时钟边沿        0：下降沿  1：上升沿
set[15]:      位序            0：lsb    1：msb
set[14]:      MOSI极性        0：负  1：正
set[13]:      MISO极性        0：负  1：正
set[12:9]:    帧位宽          3-14代表4-16bit
set[8:5]:     字节数/帧数     0-15代表1-16 
set[4:3]:     触发数据源      0： MOSI  1：MISO  2/3：都可以
set[2:1]:     解码数据源      0： MOSI  1：MISO  2/3：都可以
set[0]:       触发条件        0：片选/帧头    1:数据
 </t>
  </si>
  <si>
    <t>set参数</t>
  </si>
  <si>
    <t>protocol_trig_ctrl_word1</t>
  </si>
  <si>
    <t>TrigCtrlWod1</t>
  </si>
  <si>
    <t>protocol_trig_ctrl_word2</t>
  </si>
  <si>
    <t>TrigCtrlWod2</t>
  </si>
  <si>
    <t>protocol_type4decode</t>
  </si>
  <si>
    <t>ProtocolType4Decoder</t>
  </si>
  <si>
    <t>解码选择0:RS232   1:I2C     2:SPI</t>
  </si>
  <si>
    <t>解码选择</t>
  </si>
  <si>
    <t>protocol_type4trigger</t>
  </si>
  <si>
    <t>ProtocolType4Trigger</t>
  </si>
  <si>
    <t>触发选择 0:RS232   1:I2C     2:SPI</t>
  </si>
  <si>
    <t>触发选择</t>
  </si>
  <si>
    <t>a_clrn</t>
  </si>
  <si>
    <t>LA</t>
  </si>
  <si>
    <t>A_clrn</t>
  </si>
  <si>
    <t>ad5668_ctrl_data_high</t>
  </si>
  <si>
    <t>0X6E</t>
  </si>
  <si>
    <t>16bit</t>
  </si>
  <si>
    <t>ad5668_ctrl_data_low</t>
  </si>
  <si>
    <t>0X6F</t>
  </si>
  <si>
    <t>0X70</t>
  </si>
  <si>
    <t>上升沿开始传输。然后根据SPI的传输速度传输32位数据等待足够的时间，然后拉低。</t>
  </si>
  <si>
    <t>cpll_reset</t>
  </si>
  <si>
    <t>Cpll_reset</t>
  </si>
  <si>
    <t>gt的时钟的复位信号。高电平有效</t>
  </si>
  <si>
    <t>gtx_rdy</t>
  </si>
  <si>
    <t>Gtx_rdy</t>
  </si>
  <si>
    <t>1bit，Active low</t>
  </si>
  <si>
    <t>gtx_reset</t>
  </si>
  <si>
    <t>Gtx_reset</t>
  </si>
  <si>
    <t>LA_acq_pick_mode_in</t>
  </si>
  <si>
    <t>3bit</t>
  </si>
  <si>
    <t>目前的la模块未使用</t>
  </si>
  <si>
    <t>DECODE_OR_TRIG</t>
  </si>
  <si>
    <t>la_data_sel</t>
  </si>
  <si>
    <t>La_data_sel</t>
  </si>
  <si>
    <t>DECODE_RAM_READ_EN</t>
  </si>
  <si>
    <t>LA_Data_valid_length_high</t>
  </si>
  <si>
    <t>LA_Data_valid_length   21bit(20:16)</t>
  </si>
  <si>
    <t>DECODE_SET_B1</t>
  </si>
  <si>
    <t>LA_Data_valid_length_low</t>
  </si>
  <si>
    <t>LA_Data_valid_length   21bit([15:0])</t>
  </si>
  <si>
    <t>DECODE_SET_B2</t>
  </si>
  <si>
    <t>LA_num_extract_in_low</t>
  </si>
  <si>
    <t>LA_num_extract_in   27bit([15:0])</t>
  </si>
  <si>
    <t>DECODE_RAM_WRITE_EN</t>
  </si>
  <si>
    <t>LA_num_extract_in_high</t>
  </si>
  <si>
    <t>LA_num_extract_in+A322+A322:M322+G322+A322:M322</t>
  </si>
  <si>
    <t>LA_prog_full_thresh_high</t>
  </si>
  <si>
    <t>LA_prog_full_thresh    21bit(20:16)</t>
  </si>
  <si>
    <t>la模块FIFO可编程满深度</t>
  </si>
  <si>
    <t>DECODE_PROTOCOL_RST</t>
  </si>
  <si>
    <t>LA_prog_full_thresh_low</t>
  </si>
  <si>
    <t>LA_prog_full_thresh    21bit([15:0])</t>
  </si>
  <si>
    <t>DECODE_SET_PROTOCOL_CHANNEL_H</t>
  </si>
  <si>
    <t>trig_num</t>
  </si>
  <si>
    <t>Trig_num</t>
  </si>
  <si>
    <t>DECODE_SET_PROTOCOL_CHANNEL_L</t>
  </si>
  <si>
    <t>triglocal_lock</t>
  </si>
  <si>
    <t>Triglocal_lock</t>
  </si>
  <si>
    <t>5bit</t>
  </si>
  <si>
    <t>DECODE_SET1</t>
  </si>
  <si>
    <t>pro_read_wreg_addr</t>
  </si>
  <si>
    <t>DECODE_SET2</t>
  </si>
  <si>
    <t>pro_read_wreg_data</t>
  </si>
  <si>
    <t>DECODE_SET3</t>
  </si>
  <si>
    <t xml:space="preserve">pro_version_comment_word0   </t>
  </si>
  <si>
    <t>PROTOCOL_TYPE4_DECODE</t>
  </si>
  <si>
    <t xml:space="preserve">pro_version_comment_word1   </t>
  </si>
  <si>
    <t>PROTOCOL_TYPE4_TRIGGER</t>
  </si>
  <si>
    <t xml:space="preserve">pro_version_comment_word10  </t>
  </si>
  <si>
    <t xml:space="preserve">pro_version_comment_word11  </t>
  </si>
  <si>
    <t xml:space="preserve">pro_version_comment_word12  </t>
  </si>
  <si>
    <t xml:space="preserve">pro_version_comment_word13  </t>
  </si>
  <si>
    <t xml:space="preserve">pro_version_comment_word14  </t>
  </si>
  <si>
    <t xml:space="preserve">pro_version_comment_word15  </t>
  </si>
  <si>
    <t xml:space="preserve">pro_version_comment_word2   </t>
  </si>
  <si>
    <t xml:space="preserve">pro_version_comment_word3   </t>
  </si>
  <si>
    <t xml:space="preserve">pro_version_comment_word4   </t>
  </si>
  <si>
    <t xml:space="preserve">pro_version_comment_word5   </t>
  </si>
  <si>
    <t xml:space="preserve">pro_version_comment_word6   </t>
  </si>
  <si>
    <t xml:space="preserve">pro_version_comment_word7   </t>
  </si>
  <si>
    <t xml:space="preserve">pro_version_comment_word8   </t>
  </si>
  <si>
    <t xml:space="preserve">pro_version_comment_word9   </t>
  </si>
  <si>
    <t xml:space="preserve">pro_version_designer_word0  </t>
  </si>
  <si>
    <t xml:space="preserve">pro_version_designer_word1  </t>
  </si>
  <si>
    <t xml:space="preserve">pro_version_designer_word2  </t>
  </si>
  <si>
    <t xml:space="preserve">pro_version_designer_word3  </t>
  </si>
  <si>
    <t xml:space="preserve">pro_version_time_word0      </t>
  </si>
  <si>
    <t xml:space="preserve">pro_version_time_word1      </t>
  </si>
  <si>
    <t xml:space="preserve">pro_version_version_word0   </t>
  </si>
  <si>
    <t xml:space="preserve">pro_version_version_word1   </t>
  </si>
  <si>
    <t>pro_reg_read_back</t>
  </si>
  <si>
    <t>PLL_7043WriteData_H8</t>
  </si>
  <si>
    <t>0x8400</t>
  </si>
  <si>
    <t>S6</t>
  </si>
  <si>
    <t>7043WriteData_H8</t>
  </si>
  <si>
    <t>SPI写数据（共24bit，分高低位） 低8位</t>
  </si>
  <si>
    <t>PLL_7043WriteData_L16</t>
  </si>
  <si>
    <t>7043WriteData_L16</t>
  </si>
  <si>
    <t>PLL_7044WriteData_H8</t>
  </si>
  <si>
    <t>7044WriteData_H8</t>
  </si>
  <si>
    <t>PLL_7044WriteData_L16</t>
  </si>
  <si>
    <t>7044WriteData_L16</t>
  </si>
  <si>
    <t>pll_RESET_7043</t>
  </si>
  <si>
    <t>7043Reset</t>
  </si>
  <si>
    <t>7043复位写0-1-0 进行一次复位，
初始化前复位一次</t>
  </si>
  <si>
    <t>pll_RESET_7044</t>
  </si>
  <si>
    <t>7044Reset</t>
  </si>
  <si>
    <t>7044复位写0-1-0 进行一次复位，
初始化前复位一次</t>
  </si>
  <si>
    <t>pll_RSV</t>
  </si>
  <si>
    <t>ReservedCtrl</t>
  </si>
  <si>
    <t>3bits，bit0：pll_RSV，
bit1：pll_RSV1，bit2：pll_RSV2</t>
  </si>
  <si>
    <t>PLL 保留控制</t>
  </si>
  <si>
    <t>pll_send_7043</t>
  </si>
  <si>
    <t>7043WriteDataEffect</t>
  </si>
  <si>
    <t>7043写使能，写0-1触发一次读写，也就是先写0，
之后写入数据，然后拉高完成一次读写</t>
  </si>
  <si>
    <t>pll_send_7044</t>
  </si>
  <si>
    <t>7044WriteDataEffect</t>
  </si>
  <si>
    <t>7044写使能，写0-1触发一次读写，也就是先写0，
之后写入数据，然后拉高完成一次读写</t>
  </si>
  <si>
    <t>pll_sync</t>
  </si>
  <si>
    <t>Sync</t>
  </si>
  <si>
    <t>7044、7043 sync同步引脚,需要多次同步
写0-1-0触发一次锁相环同步</t>
  </si>
  <si>
    <t>s6_read_wreg_addr</t>
  </si>
  <si>
    <t>s6_read_wreg_data</t>
  </si>
  <si>
    <t xml:space="preserve">s6_version_comment_word0   </t>
  </si>
  <si>
    <t xml:space="preserve">s6_version_comment_word1   </t>
  </si>
  <si>
    <t xml:space="preserve">s6_version_comment_word10  </t>
  </si>
  <si>
    <t xml:space="preserve">s6_version_comment_word11  </t>
  </si>
  <si>
    <t xml:space="preserve">s6_version_comment_word12  </t>
  </si>
  <si>
    <t xml:space="preserve">s6_version_comment_word13  </t>
  </si>
  <si>
    <t xml:space="preserve">s6_version_comment_word14  </t>
  </si>
  <si>
    <t xml:space="preserve">s6_version_comment_word15  </t>
  </si>
  <si>
    <t xml:space="preserve">s6_version_comment_word2   </t>
  </si>
  <si>
    <t xml:space="preserve">s6_version_comment_word3   </t>
  </si>
  <si>
    <t xml:space="preserve">s6_version_comment_word4   </t>
  </si>
  <si>
    <t xml:space="preserve">s6_version_comment_word5   </t>
  </si>
  <si>
    <t xml:space="preserve">s6_version_comment_word6   </t>
  </si>
  <si>
    <t xml:space="preserve">s6_version_comment_word7   </t>
  </si>
  <si>
    <t xml:space="preserve">s6_version_comment_word8   </t>
  </si>
  <si>
    <t xml:space="preserve">s6_version_comment_word9   </t>
  </si>
  <si>
    <t xml:space="preserve">s6_version_designer_word0  </t>
  </si>
  <si>
    <t xml:space="preserve">s6_version_designer_word1  </t>
  </si>
  <si>
    <t xml:space="preserve">s6_version_designer_word2  </t>
  </si>
  <si>
    <t xml:space="preserve">s6_version_designer_word3  </t>
  </si>
  <si>
    <t xml:space="preserve">s6_version_time_word0      </t>
  </si>
  <si>
    <t xml:space="preserve">s6_version_time_word1      </t>
  </si>
  <si>
    <t xml:space="preserve">s6_version_version_word0   </t>
  </si>
  <si>
    <t xml:space="preserve">s6_version_version_word1   </t>
  </si>
  <si>
    <t>s6_reg_read_back</t>
  </si>
  <si>
    <t>示波器寄存器计算表</t>
  </si>
  <si>
    <t>PC -&gt; FPGA</t>
  </si>
  <si>
    <t>FPGA -&gt; PC</t>
  </si>
  <si>
    <t>寄存器值</t>
  </si>
  <si>
    <t>DEC</t>
  </si>
  <si>
    <t>高8bit</t>
  </si>
  <si>
    <t>低8bit</t>
  </si>
  <si>
    <t>bit15</t>
  </si>
  <si>
    <t>固定</t>
  </si>
  <si>
    <t>PC端寄存器</t>
  </si>
  <si>
    <t>bit14</t>
  </si>
  <si>
    <t>固定为0，或扩展FPGA寄存器地址高位</t>
  </si>
  <si>
    <t>FPGA寄存器</t>
  </si>
  <si>
    <t>FPGA扩展后寄存器值</t>
  </si>
  <si>
    <t>bit13</t>
  </si>
  <si>
    <t>write to all</t>
  </si>
  <si>
    <t>bit12-10</t>
  </si>
  <si>
    <t>片选</t>
  </si>
  <si>
    <t>bit9-2</t>
  </si>
  <si>
    <t>f7</t>
  </si>
  <si>
    <t>FPGA寄存器地址</t>
  </si>
  <si>
    <t>bit1</t>
  </si>
  <si>
    <t>bit0</t>
  </si>
  <si>
    <r>
      <rPr>
        <sz val="11"/>
        <color theme="1"/>
        <rFont val="等线"/>
        <charset val="134"/>
        <scheme val="minor"/>
      </rPr>
      <t xml:space="preserve">片选说明：                        </t>
    </r>
    <r>
      <rPr>
        <b/>
        <sz val="11"/>
        <color rgb="FFC00000"/>
        <rFont val="等线"/>
        <charset val="134"/>
        <scheme val="minor"/>
      </rPr>
      <t>黄色背景为输入区域，请输入十六进制值</t>
    </r>
    <r>
      <rPr>
        <sz val="11"/>
        <color theme="1"/>
        <rFont val="等线"/>
        <charset val="134"/>
        <scheme val="minor"/>
      </rPr>
      <t xml:space="preserve">
000：发往PCIE-K7；
001：发往PRO-S6；
010：发往PRO-K7；
011：空闲，暂时未使用；
100：ACQ1；
101：ACQ2；
110：ACQ3；
111：ACQ4；
</t>
    </r>
  </si>
  <si>
    <r>
      <rPr>
        <sz val="11"/>
        <color theme="1"/>
        <rFont val="等线"/>
        <charset val="134"/>
        <scheme val="minor"/>
      </rPr>
      <t xml:space="preserve">片选说明：            </t>
    </r>
    <r>
      <rPr>
        <b/>
        <sz val="11"/>
        <color rgb="FFC00000"/>
        <rFont val="等线"/>
        <charset val="134"/>
        <scheme val="minor"/>
      </rPr>
      <t>黄色背景为输入区域，片选信号请输入二进制值，其他输入十六进制值</t>
    </r>
    <r>
      <rPr>
        <sz val="11"/>
        <color theme="1"/>
        <rFont val="等线"/>
        <charset val="134"/>
        <scheme val="minor"/>
      </rPr>
      <t xml:space="preserve">
000：发往PCIE-K7；
001：发往PRO-S6；
010：发往PRO-K7；
011：空闲，暂时未使用；
100：ACQ1；
101：ACQ2；
110：ACQ3；
111：ACQ4；
</t>
    </r>
  </si>
  <si>
    <t>author:brucelone</t>
  </si>
</sst>
</file>

<file path=xl/styles.xml><?xml version="1.0" encoding="utf-8"?>
<styleSheet xmlns="http://schemas.openxmlformats.org/spreadsheetml/2006/main">
  <numFmts count="6">
    <numFmt numFmtId="176" formatCode="00"/>
    <numFmt numFmtId="177" formatCode="000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8"/>
      <color rgb="FFC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8"/>
      <color theme="3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18" fillId="19" borderId="10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/>
    </xf>
    <xf numFmtId="0" fontId="0" fillId="3" borderId="0" xfId="0" applyFill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9"/>
  <sheetViews>
    <sheetView tabSelected="1" workbookViewId="0">
      <pane ySplit="1" topLeftCell="A161" activePane="bottomLeft" state="frozen"/>
      <selection/>
      <selection pane="bottomLeft" activeCell="K262" sqref="K262"/>
    </sheetView>
  </sheetViews>
  <sheetFormatPr defaultColWidth="9" defaultRowHeight="14.25"/>
  <cols>
    <col min="1" max="1" width="28.25" style="17" customWidth="1"/>
    <col min="2" max="3" width="9" style="17"/>
    <col min="4" max="4" width="5.875" style="17" customWidth="1"/>
    <col min="5" max="7" width="9" style="17"/>
    <col min="8" max="8" width="13.125" style="17" customWidth="1"/>
    <col min="9" max="9" width="13.5" style="17" customWidth="1"/>
    <col min="10" max="10" width="23.625" style="17" customWidth="1"/>
    <col min="11" max="11" width="29.875" style="17" customWidth="1"/>
    <col min="12" max="12" width="28.625" style="17" customWidth="1"/>
    <col min="13" max="13" width="72.625" style="17" customWidth="1"/>
    <col min="14" max="14" width="96.625" style="17" customWidth="1"/>
    <col min="15" max="16384" width="9" style="17"/>
  </cols>
  <sheetData>
    <row r="1" spans="1:1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4">
      <c r="A2" s="17" t="s">
        <v>13</v>
      </c>
      <c r="B2" s="17" t="s">
        <v>14</v>
      </c>
      <c r="C2" s="17" t="str">
        <f t="shared" ref="C2:C65" si="0">CONCATENATE("0X",DEC2HEX(D2))</f>
        <v>0X1</v>
      </c>
      <c r="D2" s="17">
        <v>1</v>
      </c>
      <c r="E2" s="17">
        <v>0</v>
      </c>
      <c r="F2" s="17">
        <v>1</v>
      </c>
      <c r="G2" s="17">
        <v>1</v>
      </c>
      <c r="H2" s="17">
        <v>1</v>
      </c>
      <c r="I2" s="17" t="s">
        <v>15</v>
      </c>
      <c r="J2" s="17" t="s">
        <v>16</v>
      </c>
      <c r="K2" s="17" t="s">
        <v>13</v>
      </c>
      <c r="L2" s="17" t="s">
        <v>17</v>
      </c>
      <c r="M2" s="17" t="s">
        <v>18</v>
      </c>
      <c r="N2" s="17" t="s">
        <v>19</v>
      </c>
    </row>
    <row r="3" spans="1:14">
      <c r="A3" s="17" t="s">
        <v>20</v>
      </c>
      <c r="B3" s="17" t="s">
        <v>14</v>
      </c>
      <c r="C3" s="17" t="str">
        <f t="shared" si="0"/>
        <v>0X2</v>
      </c>
      <c r="D3" s="17">
        <v>2</v>
      </c>
      <c r="E3" s="17">
        <v>0</v>
      </c>
      <c r="F3" s="17">
        <v>1</v>
      </c>
      <c r="G3" s="17">
        <v>1</v>
      </c>
      <c r="H3" s="17">
        <v>1</v>
      </c>
      <c r="I3" s="17" t="s">
        <v>15</v>
      </c>
      <c r="J3" s="17" t="s">
        <v>16</v>
      </c>
      <c r="K3" s="17" t="s">
        <v>20</v>
      </c>
      <c r="L3" s="17" t="s">
        <v>21</v>
      </c>
      <c r="M3" s="17" t="s">
        <v>18</v>
      </c>
      <c r="N3" s="17" t="s">
        <v>22</v>
      </c>
    </row>
    <row r="4" spans="1:14">
      <c r="A4" s="17" t="s">
        <v>23</v>
      </c>
      <c r="B4" s="17" t="s">
        <v>14</v>
      </c>
      <c r="C4" s="17" t="str">
        <f t="shared" si="0"/>
        <v>0X3</v>
      </c>
      <c r="D4" s="17">
        <v>3</v>
      </c>
      <c r="E4" s="17">
        <v>0</v>
      </c>
      <c r="F4" s="17">
        <v>1</v>
      </c>
      <c r="G4" s="17">
        <v>1</v>
      </c>
      <c r="H4" s="17">
        <v>1</v>
      </c>
      <c r="I4" s="17" t="s">
        <v>15</v>
      </c>
      <c r="J4" s="17" t="s">
        <v>16</v>
      </c>
      <c r="K4" s="17" t="s">
        <v>23</v>
      </c>
      <c r="L4" s="17" t="s">
        <v>24</v>
      </c>
      <c r="M4" s="17" t="s">
        <v>18</v>
      </c>
      <c r="N4" s="17" t="s">
        <v>25</v>
      </c>
    </row>
    <row r="5" spans="1:14">
      <c r="A5" s="17" t="s">
        <v>26</v>
      </c>
      <c r="B5" s="17" t="s">
        <v>14</v>
      </c>
      <c r="C5" s="17" t="str">
        <f t="shared" si="0"/>
        <v>0X4</v>
      </c>
      <c r="D5" s="17">
        <v>4</v>
      </c>
      <c r="E5" s="17">
        <v>0</v>
      </c>
      <c r="F5" s="17">
        <v>1</v>
      </c>
      <c r="G5" s="17">
        <v>1</v>
      </c>
      <c r="H5" s="17">
        <v>1</v>
      </c>
      <c r="I5" s="17" t="s">
        <v>15</v>
      </c>
      <c r="J5" s="17" t="s">
        <v>16</v>
      </c>
      <c r="K5" s="17" t="s">
        <v>26</v>
      </c>
      <c r="L5" s="17" t="s">
        <v>27</v>
      </c>
      <c r="M5" s="17" t="s">
        <v>28</v>
      </c>
      <c r="N5" s="17" t="s">
        <v>29</v>
      </c>
    </row>
    <row r="6" spans="1:14">
      <c r="A6" s="17" t="s">
        <v>30</v>
      </c>
      <c r="B6" s="17" t="s">
        <v>14</v>
      </c>
      <c r="C6" s="17" t="str">
        <f t="shared" si="0"/>
        <v>0X5</v>
      </c>
      <c r="D6" s="17">
        <v>5</v>
      </c>
      <c r="E6" s="17">
        <v>0</v>
      </c>
      <c r="F6" s="17">
        <v>1</v>
      </c>
      <c r="G6" s="17">
        <v>1</v>
      </c>
      <c r="H6" s="17">
        <v>1</v>
      </c>
      <c r="I6" s="17" t="s">
        <v>15</v>
      </c>
      <c r="J6" s="17" t="s">
        <v>16</v>
      </c>
      <c r="K6" s="17" t="s">
        <v>30</v>
      </c>
      <c r="L6" s="17" t="s">
        <v>31</v>
      </c>
      <c r="M6" s="17" t="s">
        <v>18</v>
      </c>
      <c r="N6" s="17" t="s">
        <v>19</v>
      </c>
    </row>
    <row r="7" spans="1:14">
      <c r="A7" s="17" t="s">
        <v>32</v>
      </c>
      <c r="B7" s="17" t="s">
        <v>14</v>
      </c>
      <c r="C7" s="17" t="str">
        <f t="shared" si="0"/>
        <v>0X6</v>
      </c>
      <c r="D7" s="17">
        <v>6</v>
      </c>
      <c r="E7" s="17">
        <v>0</v>
      </c>
      <c r="F7" s="17">
        <v>1</v>
      </c>
      <c r="G7" s="17">
        <v>1</v>
      </c>
      <c r="H7" s="17">
        <v>1</v>
      </c>
      <c r="I7" s="17" t="s">
        <v>15</v>
      </c>
      <c r="J7" s="17" t="s">
        <v>33</v>
      </c>
      <c r="K7" s="17" t="s">
        <v>32</v>
      </c>
      <c r="L7" s="17" t="s">
        <v>34</v>
      </c>
      <c r="M7" s="17" t="s">
        <v>35</v>
      </c>
      <c r="N7" s="17" t="s">
        <v>36</v>
      </c>
    </row>
    <row r="8" spans="1:14">
      <c r="A8" s="17" t="s">
        <v>37</v>
      </c>
      <c r="B8" s="17" t="s">
        <v>14</v>
      </c>
      <c r="C8" s="17" t="str">
        <f t="shared" si="0"/>
        <v>0X7</v>
      </c>
      <c r="D8" s="17">
        <v>7</v>
      </c>
      <c r="E8" s="17">
        <v>0</v>
      </c>
      <c r="F8" s="17">
        <v>1</v>
      </c>
      <c r="G8" s="17">
        <v>1</v>
      </c>
      <c r="H8" s="17">
        <v>8</v>
      </c>
      <c r="I8" s="17" t="s">
        <v>15</v>
      </c>
      <c r="J8" s="17" t="s">
        <v>33</v>
      </c>
      <c r="K8" s="17" t="s">
        <v>37</v>
      </c>
      <c r="L8" s="17" t="s">
        <v>38</v>
      </c>
      <c r="M8" s="17" t="s">
        <v>39</v>
      </c>
      <c r="N8" s="17" t="s">
        <v>40</v>
      </c>
    </row>
    <row r="9" spans="1:14">
      <c r="A9" s="17" t="s">
        <v>41</v>
      </c>
      <c r="B9" s="17" t="s">
        <v>14</v>
      </c>
      <c r="C9" s="17" t="str">
        <f t="shared" si="0"/>
        <v>0X8</v>
      </c>
      <c r="D9" s="17">
        <v>8</v>
      </c>
      <c r="E9" s="17">
        <v>1</v>
      </c>
      <c r="F9" s="17">
        <v>0</v>
      </c>
      <c r="G9" s="17">
        <v>1</v>
      </c>
      <c r="H9" s="17">
        <v>8</v>
      </c>
      <c r="I9" s="17" t="s">
        <v>15</v>
      </c>
      <c r="J9" s="17" t="s">
        <v>33</v>
      </c>
      <c r="K9" s="17" t="s">
        <v>41</v>
      </c>
      <c r="L9" s="17" t="s">
        <v>42</v>
      </c>
      <c r="M9" s="17" t="s">
        <v>43</v>
      </c>
      <c r="N9" s="17" t="s">
        <v>44</v>
      </c>
    </row>
    <row r="10" spans="1:14">
      <c r="A10" s="17" t="s">
        <v>45</v>
      </c>
      <c r="B10" s="17" t="s">
        <v>14</v>
      </c>
      <c r="C10" s="17" t="str">
        <f t="shared" si="0"/>
        <v>0X9</v>
      </c>
      <c r="D10" s="17">
        <v>9</v>
      </c>
      <c r="E10" s="17">
        <v>0</v>
      </c>
      <c r="F10" s="17">
        <v>1</v>
      </c>
      <c r="G10" s="17">
        <v>1</v>
      </c>
      <c r="H10" s="17">
        <v>4</v>
      </c>
      <c r="I10" s="17" t="s">
        <v>15</v>
      </c>
      <c r="J10" s="17" t="s">
        <v>33</v>
      </c>
      <c r="K10" s="17" t="s">
        <v>45</v>
      </c>
      <c r="L10" s="17" t="s">
        <v>46</v>
      </c>
      <c r="M10" s="17" t="s">
        <v>47</v>
      </c>
      <c r="N10" s="17" t="s">
        <v>48</v>
      </c>
    </row>
    <row r="11" spans="1:14">
      <c r="A11" s="17" t="s">
        <v>49</v>
      </c>
      <c r="B11" s="17" t="s">
        <v>14</v>
      </c>
      <c r="C11" s="17" t="str">
        <f t="shared" si="0"/>
        <v>0XA</v>
      </c>
      <c r="D11" s="17">
        <v>10</v>
      </c>
      <c r="E11" s="17">
        <v>0</v>
      </c>
      <c r="F11" s="17">
        <v>1</v>
      </c>
      <c r="G11" s="17">
        <v>1</v>
      </c>
      <c r="H11" s="17">
        <v>16</v>
      </c>
      <c r="I11" s="17" t="s">
        <v>15</v>
      </c>
      <c r="J11" s="17" t="s">
        <v>33</v>
      </c>
      <c r="K11" s="17" t="s">
        <v>49</v>
      </c>
      <c r="L11" s="17" t="s">
        <v>50</v>
      </c>
      <c r="M11" s="17" t="s">
        <v>51</v>
      </c>
      <c r="N11" s="17" t="s">
        <v>52</v>
      </c>
    </row>
    <row r="12" spans="1:14">
      <c r="A12" s="17" t="s">
        <v>53</v>
      </c>
      <c r="B12" s="17" t="s">
        <v>14</v>
      </c>
      <c r="C12" s="17" t="str">
        <f t="shared" si="0"/>
        <v>0XB</v>
      </c>
      <c r="D12" s="17">
        <v>11</v>
      </c>
      <c r="E12" s="17">
        <v>0</v>
      </c>
      <c r="F12" s="17">
        <v>1</v>
      </c>
      <c r="G12" s="17">
        <v>1</v>
      </c>
      <c r="H12" s="17">
        <v>8</v>
      </c>
      <c r="I12" s="17" t="s">
        <v>15</v>
      </c>
      <c r="J12" s="17" t="s">
        <v>33</v>
      </c>
      <c r="K12" s="17" t="s">
        <v>53</v>
      </c>
      <c r="L12" s="17" t="s">
        <v>54</v>
      </c>
      <c r="M12" s="17" t="s">
        <v>55</v>
      </c>
      <c r="N12" s="17" t="s">
        <v>56</v>
      </c>
    </row>
    <row r="13" spans="1:14">
      <c r="A13" s="17" t="s">
        <v>57</v>
      </c>
      <c r="B13" s="17" t="s">
        <v>14</v>
      </c>
      <c r="C13" s="17" t="str">
        <f t="shared" si="0"/>
        <v>0XC</v>
      </c>
      <c r="D13" s="17">
        <v>12</v>
      </c>
      <c r="E13" s="17">
        <v>0</v>
      </c>
      <c r="F13" s="17">
        <v>1</v>
      </c>
      <c r="G13" s="17">
        <v>1</v>
      </c>
      <c r="H13" s="17">
        <v>2</v>
      </c>
      <c r="I13" s="17" t="s">
        <v>15</v>
      </c>
      <c r="J13" s="17" t="s">
        <v>33</v>
      </c>
      <c r="K13" s="17" t="s">
        <v>57</v>
      </c>
      <c r="L13" s="17" t="s">
        <v>58</v>
      </c>
      <c r="M13" s="17" t="s">
        <v>47</v>
      </c>
      <c r="N13" s="17" t="s">
        <v>59</v>
      </c>
    </row>
    <row r="14" spans="1:14">
      <c r="A14" s="17" t="s">
        <v>60</v>
      </c>
      <c r="B14" s="17" t="s">
        <v>14</v>
      </c>
      <c r="C14" s="17" t="str">
        <f t="shared" si="0"/>
        <v>0XD</v>
      </c>
      <c r="D14" s="17">
        <v>13</v>
      </c>
      <c r="E14" s="17">
        <v>0</v>
      </c>
      <c r="F14" s="17">
        <v>1</v>
      </c>
      <c r="G14" s="17">
        <v>1</v>
      </c>
      <c r="H14" s="17">
        <v>2</v>
      </c>
      <c r="I14" s="17" t="s">
        <v>15</v>
      </c>
      <c r="J14" s="17" t="s">
        <v>61</v>
      </c>
      <c r="K14" s="17" t="s">
        <v>60</v>
      </c>
      <c r="L14" s="18" t="s">
        <v>62</v>
      </c>
      <c r="M14" s="17" t="s">
        <v>63</v>
      </c>
      <c r="N14" s="17" t="s">
        <v>64</v>
      </c>
    </row>
    <row r="15" spans="1:14">
      <c r="A15" s="17" t="s">
        <v>65</v>
      </c>
      <c r="B15" s="17" t="s">
        <v>14</v>
      </c>
      <c r="C15" s="17" t="str">
        <f t="shared" si="0"/>
        <v>0XE</v>
      </c>
      <c r="D15" s="17">
        <v>14</v>
      </c>
      <c r="E15" s="17">
        <v>1</v>
      </c>
      <c r="F15" s="17">
        <v>0</v>
      </c>
      <c r="G15" s="17">
        <v>1</v>
      </c>
      <c r="H15" s="17">
        <v>1</v>
      </c>
      <c r="I15" s="17" t="s">
        <v>15</v>
      </c>
      <c r="J15" s="17" t="s">
        <v>66</v>
      </c>
      <c r="K15" s="17" t="s">
        <v>65</v>
      </c>
      <c r="L15" s="17" t="s">
        <v>67</v>
      </c>
      <c r="M15" s="17" t="s">
        <v>68</v>
      </c>
      <c r="N15" s="17" t="s">
        <v>69</v>
      </c>
    </row>
    <row r="16" spans="1:14">
      <c r="A16" s="17" t="s">
        <v>70</v>
      </c>
      <c r="B16" s="17" t="s">
        <v>14</v>
      </c>
      <c r="C16" s="17" t="str">
        <f t="shared" si="0"/>
        <v>0XF</v>
      </c>
      <c r="D16" s="17">
        <v>15</v>
      </c>
      <c r="E16" s="17">
        <v>0</v>
      </c>
      <c r="F16" s="17">
        <v>1</v>
      </c>
      <c r="G16" s="17">
        <v>1</v>
      </c>
      <c r="H16" s="17">
        <v>1</v>
      </c>
      <c r="I16" s="17" t="s">
        <v>15</v>
      </c>
      <c r="J16" s="17" t="s">
        <v>71</v>
      </c>
      <c r="K16" s="17" t="s">
        <v>70</v>
      </c>
      <c r="L16" s="17" t="s">
        <v>72</v>
      </c>
      <c r="M16" s="17" t="s">
        <v>18</v>
      </c>
      <c r="N16" s="17" t="s">
        <v>73</v>
      </c>
    </row>
    <row r="17" spans="1:14">
      <c r="A17" s="17" t="s">
        <v>74</v>
      </c>
      <c r="B17" s="17" t="s">
        <v>14</v>
      </c>
      <c r="C17" s="17" t="str">
        <f t="shared" si="0"/>
        <v>0X10</v>
      </c>
      <c r="D17" s="17">
        <v>16</v>
      </c>
      <c r="E17" s="17">
        <v>0</v>
      </c>
      <c r="F17" s="17">
        <v>1</v>
      </c>
      <c r="G17" s="17">
        <v>1</v>
      </c>
      <c r="H17" s="17">
        <v>1</v>
      </c>
      <c r="I17" s="17" t="s">
        <v>15</v>
      </c>
      <c r="J17" s="17" t="s">
        <v>71</v>
      </c>
      <c r="K17" s="17" t="s">
        <v>74</v>
      </c>
      <c r="L17" s="17" t="s">
        <v>30</v>
      </c>
      <c r="M17" s="17" t="s">
        <v>18</v>
      </c>
      <c r="N17" s="17" t="s">
        <v>75</v>
      </c>
    </row>
    <row r="18" spans="1:14">
      <c r="A18" s="17" t="s">
        <v>76</v>
      </c>
      <c r="B18" s="17" t="s">
        <v>14</v>
      </c>
      <c r="C18" s="17" t="str">
        <f t="shared" si="0"/>
        <v>0X11</v>
      </c>
      <c r="D18" s="17">
        <v>17</v>
      </c>
      <c r="E18" s="17">
        <v>1</v>
      </c>
      <c r="F18" s="17">
        <v>0</v>
      </c>
      <c r="G18" s="17">
        <v>1</v>
      </c>
      <c r="H18" s="17">
        <v>1</v>
      </c>
      <c r="I18" s="17" t="s">
        <v>15</v>
      </c>
      <c r="J18" s="17" t="s">
        <v>77</v>
      </c>
      <c r="K18" s="17" t="s">
        <v>76</v>
      </c>
      <c r="L18" s="17" t="s">
        <v>78</v>
      </c>
      <c r="M18" s="17" t="s">
        <v>18</v>
      </c>
      <c r="N18" s="17" t="s">
        <v>79</v>
      </c>
    </row>
    <row r="19" spans="1:14">
      <c r="A19" s="17" t="s">
        <v>80</v>
      </c>
      <c r="B19" s="17" t="s">
        <v>14</v>
      </c>
      <c r="C19" s="17" t="str">
        <f t="shared" si="0"/>
        <v>0X12</v>
      </c>
      <c r="D19" s="17">
        <v>18</v>
      </c>
      <c r="E19" s="17">
        <v>0</v>
      </c>
      <c r="F19" s="17">
        <v>1</v>
      </c>
      <c r="G19" s="17">
        <v>1</v>
      </c>
      <c r="H19" s="17">
        <v>16</v>
      </c>
      <c r="I19" s="17" t="s">
        <v>15</v>
      </c>
      <c r="J19" s="17" t="s">
        <v>77</v>
      </c>
      <c r="K19" s="17" t="s">
        <v>80</v>
      </c>
      <c r="L19" s="17" t="s">
        <v>81</v>
      </c>
      <c r="M19" s="17" t="s">
        <v>82</v>
      </c>
      <c r="N19" s="19" t="s">
        <v>83</v>
      </c>
    </row>
    <row r="20" spans="1:14">
      <c r="A20" s="17" t="s">
        <v>84</v>
      </c>
      <c r="B20" s="17" t="s">
        <v>14</v>
      </c>
      <c r="C20" s="17" t="str">
        <f t="shared" si="0"/>
        <v>0X13</v>
      </c>
      <c r="D20" s="17">
        <v>19</v>
      </c>
      <c r="E20" s="17">
        <v>0</v>
      </c>
      <c r="F20" s="17">
        <v>1</v>
      </c>
      <c r="G20" s="17">
        <v>1</v>
      </c>
      <c r="H20" s="17">
        <v>16</v>
      </c>
      <c r="I20" s="17" t="s">
        <v>15</v>
      </c>
      <c r="J20" s="17" t="s">
        <v>77</v>
      </c>
      <c r="K20" s="17" t="s">
        <v>84</v>
      </c>
      <c r="L20" s="17" t="s">
        <v>85</v>
      </c>
      <c r="M20" s="17" t="s">
        <v>86</v>
      </c>
      <c r="N20" s="19" t="s">
        <v>83</v>
      </c>
    </row>
    <row r="21" spans="1:14">
      <c r="A21" s="17" t="s">
        <v>87</v>
      </c>
      <c r="B21" s="17" t="s">
        <v>14</v>
      </c>
      <c r="C21" s="17" t="str">
        <f t="shared" si="0"/>
        <v>0X14</v>
      </c>
      <c r="D21" s="17">
        <v>20</v>
      </c>
      <c r="E21" s="17">
        <v>1</v>
      </c>
      <c r="F21" s="17">
        <v>0</v>
      </c>
      <c r="G21" s="17">
        <v>1</v>
      </c>
      <c r="H21" s="17">
        <v>1</v>
      </c>
      <c r="I21" s="17" t="s">
        <v>15</v>
      </c>
      <c r="J21" s="17" t="s">
        <v>77</v>
      </c>
      <c r="K21" s="17" t="s">
        <v>87</v>
      </c>
      <c r="L21" s="17" t="s">
        <v>88</v>
      </c>
      <c r="M21" s="17" t="s">
        <v>18</v>
      </c>
      <c r="N21" s="17" t="s">
        <v>79</v>
      </c>
    </row>
    <row r="22" spans="1:14">
      <c r="A22" s="17" t="s">
        <v>89</v>
      </c>
      <c r="B22" s="17" t="s">
        <v>14</v>
      </c>
      <c r="C22" s="17" t="str">
        <f t="shared" si="0"/>
        <v>0X15</v>
      </c>
      <c r="D22" s="17">
        <v>21</v>
      </c>
      <c r="E22" s="17">
        <v>0</v>
      </c>
      <c r="F22" s="17">
        <v>1</v>
      </c>
      <c r="G22" s="17">
        <v>1</v>
      </c>
      <c r="H22" s="17">
        <v>16</v>
      </c>
      <c r="I22" s="17" t="s">
        <v>15</v>
      </c>
      <c r="J22" s="17" t="s">
        <v>77</v>
      </c>
      <c r="K22" s="17" t="s">
        <v>89</v>
      </c>
      <c r="L22" s="17" t="s">
        <v>90</v>
      </c>
      <c r="M22" s="17" t="s">
        <v>82</v>
      </c>
      <c r="N22" s="17" t="s">
        <v>83</v>
      </c>
    </row>
    <row r="23" spans="1:14">
      <c r="A23" s="17" t="s">
        <v>91</v>
      </c>
      <c r="B23" s="17" t="s">
        <v>14</v>
      </c>
      <c r="C23" s="17" t="str">
        <f t="shared" si="0"/>
        <v>0X16</v>
      </c>
      <c r="D23" s="17">
        <v>22</v>
      </c>
      <c r="E23" s="17">
        <v>0</v>
      </c>
      <c r="F23" s="17">
        <v>1</v>
      </c>
      <c r="G23" s="17">
        <v>1</v>
      </c>
      <c r="H23" s="17">
        <v>16</v>
      </c>
      <c r="I23" s="17" t="s">
        <v>15</v>
      </c>
      <c r="J23" s="17" t="s">
        <v>77</v>
      </c>
      <c r="K23" s="17" t="s">
        <v>91</v>
      </c>
      <c r="L23" s="17" t="s">
        <v>92</v>
      </c>
      <c r="M23" s="17" t="s">
        <v>86</v>
      </c>
      <c r="N23" s="17" t="s">
        <v>83</v>
      </c>
    </row>
    <row r="24" spans="1:14">
      <c r="A24" s="17" t="s">
        <v>93</v>
      </c>
      <c r="B24" s="17" t="s">
        <v>14</v>
      </c>
      <c r="C24" s="17" t="str">
        <f t="shared" si="0"/>
        <v>0X17</v>
      </c>
      <c r="D24" s="17">
        <v>23</v>
      </c>
      <c r="E24" s="17">
        <v>1</v>
      </c>
      <c r="F24" s="17">
        <v>0</v>
      </c>
      <c r="G24" s="17">
        <v>1</v>
      </c>
      <c r="H24" s="17">
        <v>1</v>
      </c>
      <c r="I24" s="17" t="s">
        <v>15</v>
      </c>
      <c r="J24" s="17" t="s">
        <v>77</v>
      </c>
      <c r="K24" s="17" t="s">
        <v>93</v>
      </c>
      <c r="L24" s="17" t="s">
        <v>94</v>
      </c>
      <c r="M24" s="17" t="s">
        <v>18</v>
      </c>
      <c r="N24" s="17" t="s">
        <v>79</v>
      </c>
    </row>
    <row r="25" spans="1:14">
      <c r="A25" s="17" t="s">
        <v>95</v>
      </c>
      <c r="B25" s="17" t="s">
        <v>14</v>
      </c>
      <c r="C25" s="17" t="str">
        <f t="shared" si="0"/>
        <v>0X18</v>
      </c>
      <c r="D25" s="17">
        <v>24</v>
      </c>
      <c r="E25" s="17">
        <v>0</v>
      </c>
      <c r="F25" s="17">
        <v>1</v>
      </c>
      <c r="G25" s="17">
        <v>1</v>
      </c>
      <c r="H25" s="17">
        <v>16</v>
      </c>
      <c r="I25" s="17" t="s">
        <v>15</v>
      </c>
      <c r="J25" s="17" t="s">
        <v>77</v>
      </c>
      <c r="K25" s="17" t="s">
        <v>95</v>
      </c>
      <c r="L25" s="17" t="s">
        <v>96</v>
      </c>
      <c r="M25" s="17" t="s">
        <v>82</v>
      </c>
      <c r="N25" s="17" t="s">
        <v>83</v>
      </c>
    </row>
    <row r="26" spans="1:14">
      <c r="A26" s="17" t="s">
        <v>97</v>
      </c>
      <c r="B26" s="17" t="s">
        <v>14</v>
      </c>
      <c r="C26" s="17" t="str">
        <f t="shared" si="0"/>
        <v>0X19</v>
      </c>
      <c r="D26" s="17">
        <v>25</v>
      </c>
      <c r="E26" s="17">
        <v>0</v>
      </c>
      <c r="F26" s="17">
        <v>1</v>
      </c>
      <c r="G26" s="17">
        <v>1</v>
      </c>
      <c r="H26" s="17">
        <v>16</v>
      </c>
      <c r="I26" s="17" t="s">
        <v>15</v>
      </c>
      <c r="J26" s="17" t="s">
        <v>77</v>
      </c>
      <c r="K26" s="17" t="s">
        <v>97</v>
      </c>
      <c r="L26" s="17" t="s">
        <v>98</v>
      </c>
      <c r="M26" s="17" t="s">
        <v>86</v>
      </c>
      <c r="N26" s="17" t="s">
        <v>83</v>
      </c>
    </row>
    <row r="27" spans="1:14">
      <c r="A27" s="17" t="s">
        <v>99</v>
      </c>
      <c r="B27" s="17" t="s">
        <v>14</v>
      </c>
      <c r="C27" s="17" t="str">
        <f t="shared" si="0"/>
        <v>0X1A</v>
      </c>
      <c r="D27" s="17">
        <v>26</v>
      </c>
      <c r="E27" s="17">
        <v>0</v>
      </c>
      <c r="F27" s="17">
        <v>1</v>
      </c>
      <c r="G27" s="17">
        <v>1</v>
      </c>
      <c r="H27" s="17">
        <v>1</v>
      </c>
      <c r="I27" s="17" t="s">
        <v>15</v>
      </c>
      <c r="J27" s="17" t="s">
        <v>100</v>
      </c>
      <c r="K27" s="17" t="s">
        <v>99</v>
      </c>
      <c r="L27" s="17" t="s">
        <v>101</v>
      </c>
      <c r="M27" s="17" t="s">
        <v>18</v>
      </c>
      <c r="N27" s="17" t="s">
        <v>102</v>
      </c>
    </row>
    <row r="28" spans="1:14">
      <c r="A28" s="17" t="s">
        <v>103</v>
      </c>
      <c r="B28" s="17" t="s">
        <v>14</v>
      </c>
      <c r="C28" s="17" t="str">
        <f t="shared" si="0"/>
        <v>0X1B</v>
      </c>
      <c r="D28" s="17">
        <v>27</v>
      </c>
      <c r="E28" s="17">
        <v>1</v>
      </c>
      <c r="F28" s="17">
        <v>0</v>
      </c>
      <c r="G28" s="17">
        <v>1</v>
      </c>
      <c r="H28" s="17">
        <v>11</v>
      </c>
      <c r="I28" s="17" t="s">
        <v>15</v>
      </c>
      <c r="J28" s="17" t="s">
        <v>100</v>
      </c>
      <c r="K28" s="17" t="s">
        <v>103</v>
      </c>
      <c r="L28" s="17" t="s">
        <v>104</v>
      </c>
      <c r="M28" s="17" t="s">
        <v>105</v>
      </c>
      <c r="N28" s="19" t="s">
        <v>106</v>
      </c>
    </row>
    <row r="29" spans="1:14">
      <c r="A29" s="17" t="s">
        <v>107</v>
      </c>
      <c r="B29" s="17" t="s">
        <v>14</v>
      </c>
      <c r="C29" s="17" t="str">
        <f t="shared" si="0"/>
        <v>0X1C</v>
      </c>
      <c r="D29" s="17">
        <v>28</v>
      </c>
      <c r="E29" s="17">
        <v>1</v>
      </c>
      <c r="F29" s="17">
        <v>0</v>
      </c>
      <c r="G29" s="17">
        <v>1</v>
      </c>
      <c r="H29" s="17">
        <v>1</v>
      </c>
      <c r="I29" s="17" t="s">
        <v>15</v>
      </c>
      <c r="J29" s="17" t="s">
        <v>100</v>
      </c>
      <c r="K29" s="17" t="s">
        <v>107</v>
      </c>
      <c r="L29" s="17" t="s">
        <v>108</v>
      </c>
      <c r="M29" s="17" t="s">
        <v>18</v>
      </c>
      <c r="N29" s="17" t="s">
        <v>109</v>
      </c>
    </row>
    <row r="30" spans="1:14">
      <c r="A30" s="17" t="s">
        <v>110</v>
      </c>
      <c r="B30" s="17" t="s">
        <v>14</v>
      </c>
      <c r="C30" s="17" t="str">
        <f t="shared" si="0"/>
        <v>0X1D</v>
      </c>
      <c r="D30" s="17">
        <v>29</v>
      </c>
      <c r="E30" s="17">
        <v>0</v>
      </c>
      <c r="F30" s="17">
        <v>1</v>
      </c>
      <c r="G30" s="17">
        <v>1</v>
      </c>
      <c r="H30" s="17">
        <v>11</v>
      </c>
      <c r="I30" s="17" t="s">
        <v>15</v>
      </c>
      <c r="J30" s="17" t="s">
        <v>100</v>
      </c>
      <c r="K30" s="17" t="s">
        <v>110</v>
      </c>
      <c r="L30" s="17" t="s">
        <v>111</v>
      </c>
      <c r="M30" s="17" t="s">
        <v>112</v>
      </c>
      <c r="N30" s="17" t="s">
        <v>113</v>
      </c>
    </row>
    <row r="31" spans="1:14">
      <c r="A31" s="17" t="s">
        <v>114</v>
      </c>
      <c r="B31" s="17" t="s">
        <v>14</v>
      </c>
      <c r="C31" s="17" t="str">
        <f t="shared" si="0"/>
        <v>0X1E</v>
      </c>
      <c r="D31" s="17">
        <v>30</v>
      </c>
      <c r="E31" s="17">
        <v>0</v>
      </c>
      <c r="F31" s="17">
        <v>1</v>
      </c>
      <c r="G31" s="17">
        <v>1</v>
      </c>
      <c r="H31" s="17">
        <v>16</v>
      </c>
      <c r="I31" s="17" t="s">
        <v>15</v>
      </c>
      <c r="J31" s="17" t="s">
        <v>115</v>
      </c>
      <c r="K31" s="17" t="s">
        <v>114</v>
      </c>
      <c r="L31" s="17" t="s">
        <v>116</v>
      </c>
      <c r="M31" s="17" t="s">
        <v>117</v>
      </c>
      <c r="N31" s="17" t="s">
        <v>118</v>
      </c>
    </row>
    <row r="32" spans="1:14">
      <c r="A32" s="17" t="s">
        <v>119</v>
      </c>
      <c r="B32" s="17" t="s">
        <v>14</v>
      </c>
      <c r="C32" s="17" t="str">
        <f t="shared" si="0"/>
        <v>0X1F</v>
      </c>
      <c r="D32" s="17">
        <v>31</v>
      </c>
      <c r="E32" s="17">
        <v>0</v>
      </c>
      <c r="F32" s="17">
        <v>1</v>
      </c>
      <c r="G32" s="17">
        <v>1</v>
      </c>
      <c r="H32" s="17">
        <v>16</v>
      </c>
      <c r="I32" s="17" t="s">
        <v>15</v>
      </c>
      <c r="J32" s="17" t="s">
        <v>115</v>
      </c>
      <c r="K32" s="17" t="s">
        <v>119</v>
      </c>
      <c r="L32" s="17" t="s">
        <v>120</v>
      </c>
      <c r="M32" s="17" t="s">
        <v>121</v>
      </c>
      <c r="N32" s="17" t="s">
        <v>122</v>
      </c>
    </row>
    <row r="33" spans="1:14">
      <c r="A33" s="17" t="s">
        <v>123</v>
      </c>
      <c r="B33" s="17" t="s">
        <v>14</v>
      </c>
      <c r="C33" s="17" t="str">
        <f t="shared" si="0"/>
        <v>0X20</v>
      </c>
      <c r="D33" s="17">
        <v>32</v>
      </c>
      <c r="E33" s="17">
        <v>0</v>
      </c>
      <c r="F33" s="17">
        <v>1</v>
      </c>
      <c r="G33" s="17">
        <v>1</v>
      </c>
      <c r="H33" s="17">
        <v>1</v>
      </c>
      <c r="I33" s="17" t="s">
        <v>15</v>
      </c>
      <c r="J33" s="17" t="s">
        <v>124</v>
      </c>
      <c r="K33" s="17" t="s">
        <v>123</v>
      </c>
      <c r="L33" s="17" t="s">
        <v>125</v>
      </c>
      <c r="M33" s="17" t="s">
        <v>18</v>
      </c>
      <c r="N33" s="17" t="s">
        <v>126</v>
      </c>
    </row>
    <row r="34" spans="1:14">
      <c r="A34" s="17" t="s">
        <v>127</v>
      </c>
      <c r="B34" s="17" t="s">
        <v>14</v>
      </c>
      <c r="C34" s="17" t="str">
        <f t="shared" si="0"/>
        <v>0X21</v>
      </c>
      <c r="D34" s="17">
        <v>33</v>
      </c>
      <c r="E34" s="17">
        <v>0</v>
      </c>
      <c r="F34" s="17">
        <v>1</v>
      </c>
      <c r="G34" s="17">
        <v>1</v>
      </c>
      <c r="H34" s="17">
        <v>1</v>
      </c>
      <c r="I34" s="17" t="s">
        <v>15</v>
      </c>
      <c r="J34" s="17" t="s">
        <v>115</v>
      </c>
      <c r="K34" s="17" t="s">
        <v>127</v>
      </c>
      <c r="L34" s="17" t="s">
        <v>127</v>
      </c>
      <c r="M34" s="17" t="s">
        <v>18</v>
      </c>
      <c r="N34" s="17" t="s">
        <v>128</v>
      </c>
    </row>
    <row r="35" spans="1:14">
      <c r="A35" s="17" t="s">
        <v>129</v>
      </c>
      <c r="B35" s="17" t="s">
        <v>14</v>
      </c>
      <c r="C35" s="17" t="str">
        <f t="shared" si="0"/>
        <v>0X22</v>
      </c>
      <c r="D35" s="17">
        <v>34</v>
      </c>
      <c r="E35" s="17">
        <v>0</v>
      </c>
      <c r="F35" s="17">
        <v>1</v>
      </c>
      <c r="G35" s="17">
        <v>1</v>
      </c>
      <c r="H35" s="17">
        <v>8</v>
      </c>
      <c r="I35" s="17" t="s">
        <v>15</v>
      </c>
      <c r="J35" s="17" t="s">
        <v>115</v>
      </c>
      <c r="K35" s="17" t="s">
        <v>129</v>
      </c>
      <c r="L35" s="17" t="s">
        <v>129</v>
      </c>
      <c r="M35" s="17" t="s">
        <v>130</v>
      </c>
      <c r="N35" s="17" t="s">
        <v>131</v>
      </c>
    </row>
    <row r="36" spans="1:14">
      <c r="A36" s="17" t="s">
        <v>132</v>
      </c>
      <c r="B36" s="17" t="s">
        <v>14</v>
      </c>
      <c r="C36" s="17" t="str">
        <f t="shared" si="0"/>
        <v>0X23</v>
      </c>
      <c r="D36" s="17">
        <v>35</v>
      </c>
      <c r="E36" s="17">
        <v>0</v>
      </c>
      <c r="F36" s="17">
        <v>1</v>
      </c>
      <c r="G36" s="17">
        <v>1</v>
      </c>
      <c r="H36" s="17">
        <v>16</v>
      </c>
      <c r="I36" s="17" t="s">
        <v>15</v>
      </c>
      <c r="J36" s="17" t="s">
        <v>115</v>
      </c>
      <c r="K36" s="17" t="s">
        <v>132</v>
      </c>
      <c r="L36" s="17" t="s">
        <v>132</v>
      </c>
      <c r="M36" s="17" t="s">
        <v>133</v>
      </c>
      <c r="N36" s="17" t="s">
        <v>134</v>
      </c>
    </row>
    <row r="37" spans="1:14">
      <c r="A37" s="17" t="s">
        <v>135</v>
      </c>
      <c r="B37" s="17" t="s">
        <v>14</v>
      </c>
      <c r="C37" s="17" t="str">
        <f t="shared" si="0"/>
        <v>0X24</v>
      </c>
      <c r="D37" s="17">
        <v>36</v>
      </c>
      <c r="E37" s="17">
        <v>1</v>
      </c>
      <c r="F37" s="17">
        <v>0</v>
      </c>
      <c r="G37" s="17">
        <v>1</v>
      </c>
      <c r="H37" s="17">
        <v>16</v>
      </c>
      <c r="I37" s="17" t="s">
        <v>15</v>
      </c>
      <c r="J37" s="17" t="s">
        <v>115</v>
      </c>
      <c r="K37" s="17" t="s">
        <v>135</v>
      </c>
      <c r="L37" s="17" t="s">
        <v>136</v>
      </c>
      <c r="M37" s="17" t="s">
        <v>137</v>
      </c>
      <c r="N37" s="17" t="s">
        <v>138</v>
      </c>
    </row>
    <row r="38" spans="1:14">
      <c r="A38" s="17" t="s">
        <v>139</v>
      </c>
      <c r="B38" s="17" t="s">
        <v>14</v>
      </c>
      <c r="C38" s="17" t="str">
        <f t="shared" si="0"/>
        <v>0X25</v>
      </c>
      <c r="D38" s="17">
        <v>37</v>
      </c>
      <c r="E38" s="17">
        <v>1</v>
      </c>
      <c r="F38" s="17">
        <v>0</v>
      </c>
      <c r="G38" s="17">
        <v>1</v>
      </c>
      <c r="H38" s="17">
        <v>16</v>
      </c>
      <c r="I38" s="17" t="s">
        <v>15</v>
      </c>
      <c r="J38" s="17" t="s">
        <v>115</v>
      </c>
      <c r="K38" s="17" t="s">
        <v>139</v>
      </c>
      <c r="L38" s="17" t="s">
        <v>140</v>
      </c>
      <c r="M38" s="17" t="s">
        <v>137</v>
      </c>
      <c r="N38" s="17" t="s">
        <v>141</v>
      </c>
    </row>
    <row r="39" spans="1:14">
      <c r="A39" s="17" t="s">
        <v>142</v>
      </c>
      <c r="B39" s="17" t="s">
        <v>14</v>
      </c>
      <c r="C39" s="17" t="str">
        <f t="shared" si="0"/>
        <v>0X26</v>
      </c>
      <c r="D39" s="17">
        <v>38</v>
      </c>
      <c r="E39" s="17">
        <v>1</v>
      </c>
      <c r="F39" s="17">
        <v>0</v>
      </c>
      <c r="G39" s="17">
        <v>1</v>
      </c>
      <c r="H39" s="17">
        <v>8</v>
      </c>
      <c r="I39" s="17" t="s">
        <v>15</v>
      </c>
      <c r="J39" s="17" t="s">
        <v>115</v>
      </c>
      <c r="K39" s="17" t="s">
        <v>142</v>
      </c>
      <c r="L39" s="17" t="s">
        <v>143</v>
      </c>
      <c r="M39" s="17" t="s">
        <v>144</v>
      </c>
      <c r="N39" s="17" t="s">
        <v>145</v>
      </c>
    </row>
    <row r="40" spans="1:14">
      <c r="A40" s="17" t="s">
        <v>146</v>
      </c>
      <c r="B40" s="17" t="s">
        <v>14</v>
      </c>
      <c r="C40" s="17" t="str">
        <f t="shared" si="0"/>
        <v>0X27</v>
      </c>
      <c r="D40" s="17">
        <v>39</v>
      </c>
      <c r="E40" s="17">
        <v>1</v>
      </c>
      <c r="F40" s="17">
        <v>0</v>
      </c>
      <c r="G40" s="17">
        <v>1</v>
      </c>
      <c r="H40" s="17">
        <v>1</v>
      </c>
      <c r="I40" s="17" t="s">
        <v>15</v>
      </c>
      <c r="J40" s="17" t="s">
        <v>147</v>
      </c>
      <c r="K40" s="17" t="s">
        <v>146</v>
      </c>
      <c r="L40" s="17" t="s">
        <v>148</v>
      </c>
      <c r="M40" s="17" t="s">
        <v>149</v>
      </c>
      <c r="N40" s="17" t="s">
        <v>150</v>
      </c>
    </row>
    <row r="41" spans="1:14">
      <c r="A41" s="17" t="s">
        <v>151</v>
      </c>
      <c r="B41" s="17" t="s">
        <v>14</v>
      </c>
      <c r="C41" s="17" t="str">
        <f t="shared" si="0"/>
        <v>0X28</v>
      </c>
      <c r="D41" s="17">
        <v>40</v>
      </c>
      <c r="E41" s="17">
        <v>1</v>
      </c>
      <c r="F41" s="17">
        <v>0</v>
      </c>
      <c r="G41" s="17">
        <v>1</v>
      </c>
      <c r="H41" s="17">
        <v>9</v>
      </c>
      <c r="I41" s="17" t="s">
        <v>15</v>
      </c>
      <c r="J41" s="17" t="s">
        <v>147</v>
      </c>
      <c r="K41" s="17" t="s">
        <v>151</v>
      </c>
      <c r="L41" s="17" t="s">
        <v>152</v>
      </c>
      <c r="M41" s="17" t="s">
        <v>153</v>
      </c>
      <c r="N41" s="19" t="s">
        <v>154</v>
      </c>
    </row>
    <row r="42" spans="1:14">
      <c r="A42" s="17" t="s">
        <v>155</v>
      </c>
      <c r="B42" s="17" t="s">
        <v>14</v>
      </c>
      <c r="C42" s="17" t="str">
        <f t="shared" si="0"/>
        <v>0X29</v>
      </c>
      <c r="D42" s="17">
        <v>41</v>
      </c>
      <c r="E42" s="17">
        <v>1</v>
      </c>
      <c r="F42" s="17">
        <v>0</v>
      </c>
      <c r="G42" s="17">
        <v>1</v>
      </c>
      <c r="H42" s="17">
        <v>9</v>
      </c>
      <c r="I42" s="17" t="s">
        <v>15</v>
      </c>
      <c r="J42" s="17" t="s">
        <v>147</v>
      </c>
      <c r="K42" s="17" t="s">
        <v>155</v>
      </c>
      <c r="L42" s="17" t="s">
        <v>156</v>
      </c>
      <c r="M42" s="17" t="s">
        <v>153</v>
      </c>
      <c r="N42" s="19" t="s">
        <v>157</v>
      </c>
    </row>
    <row r="43" spans="1:14">
      <c r="A43" s="17" t="s">
        <v>158</v>
      </c>
      <c r="B43" s="17" t="s">
        <v>14</v>
      </c>
      <c r="C43" s="17" t="str">
        <f t="shared" si="0"/>
        <v>0X2A</v>
      </c>
      <c r="D43" s="17">
        <v>42</v>
      </c>
      <c r="E43" s="17">
        <v>1</v>
      </c>
      <c r="F43" s="17">
        <v>0</v>
      </c>
      <c r="G43" s="17">
        <v>1</v>
      </c>
      <c r="H43" s="17">
        <v>9</v>
      </c>
      <c r="I43" s="17" t="s">
        <v>15</v>
      </c>
      <c r="J43" s="17" t="s">
        <v>147</v>
      </c>
      <c r="K43" s="17" t="s">
        <v>158</v>
      </c>
      <c r="L43" s="17" t="s">
        <v>159</v>
      </c>
      <c r="M43" s="17" t="s">
        <v>153</v>
      </c>
      <c r="N43" s="19" t="s">
        <v>160</v>
      </c>
    </row>
    <row r="44" spans="1:14">
      <c r="A44" s="17" t="s">
        <v>161</v>
      </c>
      <c r="B44" s="17" t="s">
        <v>14</v>
      </c>
      <c r="C44" s="17" t="str">
        <f t="shared" si="0"/>
        <v>0X2B</v>
      </c>
      <c r="D44" s="17">
        <v>43</v>
      </c>
      <c r="E44" s="17">
        <v>0</v>
      </c>
      <c r="F44" s="17">
        <v>1</v>
      </c>
      <c r="G44" s="17">
        <v>1</v>
      </c>
      <c r="H44" s="17">
        <v>1</v>
      </c>
      <c r="I44" s="17" t="s">
        <v>15</v>
      </c>
      <c r="J44" s="17" t="s">
        <v>162</v>
      </c>
      <c r="K44" s="17" t="s">
        <v>161</v>
      </c>
      <c r="L44" s="17" t="s">
        <v>163</v>
      </c>
      <c r="M44" s="17" t="s">
        <v>164</v>
      </c>
      <c r="N44" s="17" t="s">
        <v>165</v>
      </c>
    </row>
    <row r="45" spans="1:14">
      <c r="A45" s="17" t="s">
        <v>166</v>
      </c>
      <c r="B45" s="17" t="s">
        <v>14</v>
      </c>
      <c r="C45" s="17" t="str">
        <f t="shared" si="0"/>
        <v>0X2C</v>
      </c>
      <c r="D45" s="17">
        <v>44</v>
      </c>
      <c r="E45" s="17">
        <v>0</v>
      </c>
      <c r="F45" s="17">
        <v>1</v>
      </c>
      <c r="G45" s="17">
        <v>1</v>
      </c>
      <c r="H45" s="17">
        <v>16</v>
      </c>
      <c r="I45" s="17" t="s">
        <v>15</v>
      </c>
      <c r="J45" s="17" t="s">
        <v>162</v>
      </c>
      <c r="K45" s="17" t="s">
        <v>166</v>
      </c>
      <c r="L45" s="17" t="s">
        <v>167</v>
      </c>
      <c r="M45" s="17" t="s">
        <v>168</v>
      </c>
      <c r="N45" s="17" t="s">
        <v>169</v>
      </c>
    </row>
    <row r="46" spans="1:14">
      <c r="A46" s="17" t="s">
        <v>170</v>
      </c>
      <c r="B46" s="17" t="s">
        <v>14</v>
      </c>
      <c r="C46" s="17" t="str">
        <f t="shared" si="0"/>
        <v>0X2D</v>
      </c>
      <c r="D46" s="17">
        <v>45</v>
      </c>
      <c r="E46" s="17">
        <v>0</v>
      </c>
      <c r="F46" s="17">
        <v>1</v>
      </c>
      <c r="G46" s="17">
        <v>1</v>
      </c>
      <c r="H46" s="17">
        <v>12</v>
      </c>
      <c r="I46" s="17" t="s">
        <v>15</v>
      </c>
      <c r="J46" s="17" t="s">
        <v>162</v>
      </c>
      <c r="K46" s="17" t="s">
        <v>170</v>
      </c>
      <c r="L46" s="17" t="s">
        <v>171</v>
      </c>
      <c r="M46" s="17" t="s">
        <v>172</v>
      </c>
      <c r="N46" s="17" t="s">
        <v>173</v>
      </c>
    </row>
    <row r="47" spans="1:14">
      <c r="A47" s="17" t="s">
        <v>174</v>
      </c>
      <c r="B47" s="17" t="s">
        <v>14</v>
      </c>
      <c r="C47" s="17" t="str">
        <f t="shared" si="0"/>
        <v>0X2E</v>
      </c>
      <c r="D47" s="17">
        <v>46</v>
      </c>
      <c r="E47" s="17">
        <v>0</v>
      </c>
      <c r="F47" s="17">
        <v>1</v>
      </c>
      <c r="G47" s="17">
        <v>1</v>
      </c>
      <c r="H47" s="17">
        <v>12</v>
      </c>
      <c r="I47" s="17" t="s">
        <v>15</v>
      </c>
      <c r="J47" s="17" t="s">
        <v>162</v>
      </c>
      <c r="K47" s="17" t="s">
        <v>174</v>
      </c>
      <c r="L47" s="17" t="s">
        <v>175</v>
      </c>
      <c r="M47" s="17" t="s">
        <v>172</v>
      </c>
      <c r="N47" s="17" t="s">
        <v>176</v>
      </c>
    </row>
    <row r="48" spans="1:14">
      <c r="A48" s="17" t="s">
        <v>177</v>
      </c>
      <c r="B48" s="17" t="s">
        <v>14</v>
      </c>
      <c r="C48" s="17" t="str">
        <f t="shared" si="0"/>
        <v>0X2F</v>
      </c>
      <c r="D48" s="17">
        <v>47</v>
      </c>
      <c r="E48" s="17">
        <v>0</v>
      </c>
      <c r="F48" s="17">
        <v>1</v>
      </c>
      <c r="G48" s="17">
        <v>1</v>
      </c>
      <c r="H48" s="17">
        <v>12</v>
      </c>
      <c r="I48" s="17" t="s">
        <v>15</v>
      </c>
      <c r="J48" s="17" t="s">
        <v>162</v>
      </c>
      <c r="K48" s="17" t="s">
        <v>177</v>
      </c>
      <c r="L48" s="17" t="s">
        <v>178</v>
      </c>
      <c r="M48" s="17" t="s">
        <v>179</v>
      </c>
      <c r="N48" s="17" t="s">
        <v>180</v>
      </c>
    </row>
    <row r="49" spans="1:14">
      <c r="A49" s="17" t="s">
        <v>181</v>
      </c>
      <c r="B49" s="17" t="s">
        <v>14</v>
      </c>
      <c r="C49" s="17" t="str">
        <f t="shared" si="0"/>
        <v>0X30</v>
      </c>
      <c r="D49" s="17">
        <v>48</v>
      </c>
      <c r="E49" s="17">
        <v>0</v>
      </c>
      <c r="F49" s="17">
        <v>1</v>
      </c>
      <c r="G49" s="17">
        <v>1</v>
      </c>
      <c r="H49" s="17">
        <v>1</v>
      </c>
      <c r="I49" s="17" t="s">
        <v>15</v>
      </c>
      <c r="J49" s="17" t="s">
        <v>162</v>
      </c>
      <c r="K49" s="17" t="s">
        <v>181</v>
      </c>
      <c r="L49" s="17" t="s">
        <v>182</v>
      </c>
      <c r="M49" s="17" t="s">
        <v>183</v>
      </c>
      <c r="N49" s="17" t="s">
        <v>184</v>
      </c>
    </row>
    <row r="50" spans="1:14">
      <c r="A50" s="17" t="s">
        <v>185</v>
      </c>
      <c r="B50" s="17" t="s">
        <v>14</v>
      </c>
      <c r="C50" s="17" t="str">
        <f t="shared" si="0"/>
        <v>0X31</v>
      </c>
      <c r="D50" s="17">
        <v>49</v>
      </c>
      <c r="E50" s="17">
        <v>0</v>
      </c>
      <c r="F50" s="17">
        <v>1</v>
      </c>
      <c r="G50" s="17">
        <v>1</v>
      </c>
      <c r="H50" s="17">
        <v>1</v>
      </c>
      <c r="I50" s="17" t="s">
        <v>15</v>
      </c>
      <c r="J50" s="17" t="s">
        <v>162</v>
      </c>
      <c r="K50" s="17" t="s">
        <v>185</v>
      </c>
      <c r="L50" s="17" t="s">
        <v>186</v>
      </c>
      <c r="M50" s="17" t="s">
        <v>187</v>
      </c>
      <c r="N50" s="17" t="s">
        <v>188</v>
      </c>
    </row>
    <row r="51" spans="1:14">
      <c r="A51" s="17" t="s">
        <v>189</v>
      </c>
      <c r="B51" s="17" t="s">
        <v>14</v>
      </c>
      <c r="C51" s="17" t="str">
        <f t="shared" si="0"/>
        <v>0X32</v>
      </c>
      <c r="D51" s="17">
        <v>50</v>
      </c>
      <c r="E51" s="17">
        <v>1</v>
      </c>
      <c r="F51" s="17">
        <v>0</v>
      </c>
      <c r="G51" s="17">
        <v>1</v>
      </c>
      <c r="H51" s="17">
        <v>7</v>
      </c>
      <c r="I51" s="17" t="s">
        <v>15</v>
      </c>
      <c r="J51" s="17" t="s">
        <v>162</v>
      </c>
      <c r="K51" s="17" t="s">
        <v>189</v>
      </c>
      <c r="L51" s="18" t="s">
        <v>190</v>
      </c>
      <c r="M51" s="17" t="s">
        <v>191</v>
      </c>
      <c r="N51" s="17" t="s">
        <v>192</v>
      </c>
    </row>
    <row r="52" spans="1:14">
      <c r="A52" s="17" t="s">
        <v>193</v>
      </c>
      <c r="B52" s="17" t="s">
        <v>14</v>
      </c>
      <c r="C52" s="17" t="str">
        <f t="shared" si="0"/>
        <v>0X33</v>
      </c>
      <c r="D52" s="17">
        <v>51</v>
      </c>
      <c r="E52" s="17">
        <v>0</v>
      </c>
      <c r="F52" s="17">
        <v>1</v>
      </c>
      <c r="G52" s="17">
        <v>1</v>
      </c>
      <c r="H52" s="17">
        <v>16</v>
      </c>
      <c r="I52" s="17" t="s">
        <v>15</v>
      </c>
      <c r="J52" s="17" t="s">
        <v>162</v>
      </c>
      <c r="K52" s="17" t="s">
        <v>193</v>
      </c>
      <c r="L52" s="17" t="s">
        <v>194</v>
      </c>
      <c r="M52" s="17" t="s">
        <v>168</v>
      </c>
      <c r="N52" s="17" t="s">
        <v>195</v>
      </c>
    </row>
    <row r="53" s="15" customFormat="1" spans="1:14">
      <c r="A53" s="15" t="s">
        <v>196</v>
      </c>
      <c r="B53" s="15" t="s">
        <v>14</v>
      </c>
      <c r="C53" s="15" t="str">
        <f t="shared" si="0"/>
        <v>0X34</v>
      </c>
      <c r="D53" s="15">
        <v>52</v>
      </c>
      <c r="E53" s="15">
        <v>0</v>
      </c>
      <c r="F53" s="15">
        <v>1</v>
      </c>
      <c r="G53" s="15">
        <v>1</v>
      </c>
      <c r="H53" s="15">
        <v>1</v>
      </c>
      <c r="I53" s="15" t="s">
        <v>15</v>
      </c>
      <c r="J53" s="15" t="s">
        <v>162</v>
      </c>
      <c r="K53" s="15" t="s">
        <v>196</v>
      </c>
      <c r="L53" s="15" t="s">
        <v>197</v>
      </c>
      <c r="M53" s="15" t="s">
        <v>198</v>
      </c>
      <c r="N53" s="15" t="s">
        <v>199</v>
      </c>
    </row>
    <row r="54" s="15" customFormat="1" spans="1:12">
      <c r="A54" s="15" t="s">
        <v>200</v>
      </c>
      <c r="B54" s="15" t="s">
        <v>14</v>
      </c>
      <c r="C54" s="15" t="str">
        <f t="shared" si="0"/>
        <v>0X35</v>
      </c>
      <c r="D54" s="15">
        <v>53</v>
      </c>
      <c r="E54" s="15">
        <v>0</v>
      </c>
      <c r="F54" s="15">
        <v>1</v>
      </c>
      <c r="G54" s="15">
        <v>1</v>
      </c>
      <c r="H54" s="15">
        <v>12</v>
      </c>
      <c r="I54" s="15" t="s">
        <v>15</v>
      </c>
      <c r="J54" s="15" t="s">
        <v>201</v>
      </c>
      <c r="K54" s="20" t="s">
        <v>200</v>
      </c>
      <c r="L54" s="20" t="s">
        <v>202</v>
      </c>
    </row>
    <row r="55" s="15" customFormat="1" spans="1:12">
      <c r="A55" s="15" t="s">
        <v>203</v>
      </c>
      <c r="B55" s="15" t="s">
        <v>14</v>
      </c>
      <c r="C55" s="15" t="str">
        <f t="shared" si="0"/>
        <v>0X36</v>
      </c>
      <c r="D55" s="15">
        <v>54</v>
      </c>
      <c r="E55" s="15">
        <v>0</v>
      </c>
      <c r="F55" s="15">
        <v>1</v>
      </c>
      <c r="G55" s="15">
        <v>1</v>
      </c>
      <c r="H55" s="15">
        <v>12</v>
      </c>
      <c r="I55" s="15" t="s">
        <v>15</v>
      </c>
      <c r="J55" s="15" t="s">
        <v>201</v>
      </c>
      <c r="K55" s="20" t="s">
        <v>203</v>
      </c>
      <c r="L55" s="20" t="s">
        <v>204</v>
      </c>
    </row>
    <row r="56" s="15" customFormat="1" spans="1:12">
      <c r="A56" s="15" t="s">
        <v>205</v>
      </c>
      <c r="B56" s="15" t="s">
        <v>14</v>
      </c>
      <c r="C56" s="15" t="str">
        <f t="shared" si="0"/>
        <v>0X37</v>
      </c>
      <c r="D56" s="15">
        <v>55</v>
      </c>
      <c r="E56" s="15">
        <v>0</v>
      </c>
      <c r="F56" s="15">
        <v>1</v>
      </c>
      <c r="G56" s="15">
        <v>1</v>
      </c>
      <c r="H56" s="15">
        <v>12</v>
      </c>
      <c r="I56" s="15" t="s">
        <v>15</v>
      </c>
      <c r="J56" s="15" t="s">
        <v>201</v>
      </c>
      <c r="K56" s="20" t="s">
        <v>205</v>
      </c>
      <c r="L56" s="20" t="s">
        <v>202</v>
      </c>
    </row>
    <row r="57" s="15" customFormat="1" spans="1:12">
      <c r="A57" s="15" t="s">
        <v>206</v>
      </c>
      <c r="B57" s="15" t="s">
        <v>14</v>
      </c>
      <c r="C57" s="15" t="str">
        <f t="shared" si="0"/>
        <v>0X38</v>
      </c>
      <c r="D57" s="15">
        <v>56</v>
      </c>
      <c r="E57" s="15">
        <v>0</v>
      </c>
      <c r="F57" s="15">
        <v>1</v>
      </c>
      <c r="G57" s="15">
        <v>1</v>
      </c>
      <c r="H57" s="15">
        <v>12</v>
      </c>
      <c r="I57" s="15" t="s">
        <v>15</v>
      </c>
      <c r="J57" s="15" t="s">
        <v>201</v>
      </c>
      <c r="K57" s="20" t="s">
        <v>206</v>
      </c>
      <c r="L57" s="20" t="s">
        <v>204</v>
      </c>
    </row>
    <row r="58" s="15" customFormat="1" spans="1:14">
      <c r="A58" s="15" t="s">
        <v>207</v>
      </c>
      <c r="B58" s="15" t="s">
        <v>14</v>
      </c>
      <c r="C58" s="15" t="str">
        <f t="shared" si="0"/>
        <v>0X39</v>
      </c>
      <c r="D58" s="15">
        <v>57</v>
      </c>
      <c r="E58" s="15">
        <v>0</v>
      </c>
      <c r="F58" s="15">
        <v>1</v>
      </c>
      <c r="G58" s="15">
        <v>1</v>
      </c>
      <c r="H58" s="15">
        <v>3</v>
      </c>
      <c r="I58" s="15" t="s">
        <v>15</v>
      </c>
      <c r="J58" s="15" t="s">
        <v>201</v>
      </c>
      <c r="K58" s="15" t="s">
        <v>207</v>
      </c>
      <c r="L58" s="15" t="s">
        <v>208</v>
      </c>
      <c r="M58" s="15" t="s">
        <v>209</v>
      </c>
      <c r="N58" s="15" t="s">
        <v>210</v>
      </c>
    </row>
    <row r="59" s="15" customFormat="1" spans="1:14">
      <c r="A59" s="15" t="s">
        <v>211</v>
      </c>
      <c r="B59" s="15" t="s">
        <v>14</v>
      </c>
      <c r="C59" s="15" t="str">
        <f t="shared" si="0"/>
        <v>0X3A</v>
      </c>
      <c r="D59" s="15">
        <v>58</v>
      </c>
      <c r="E59" s="15">
        <v>0</v>
      </c>
      <c r="F59" s="15">
        <v>1</v>
      </c>
      <c r="G59" s="15">
        <v>1</v>
      </c>
      <c r="H59" s="15">
        <v>1</v>
      </c>
      <c r="I59" s="15" t="s">
        <v>15</v>
      </c>
      <c r="J59" s="15" t="s">
        <v>201</v>
      </c>
      <c r="K59" s="15" t="s">
        <v>211</v>
      </c>
      <c r="L59" s="15" t="s">
        <v>212</v>
      </c>
      <c r="M59" s="15" t="s">
        <v>213</v>
      </c>
      <c r="N59" s="15" t="s">
        <v>214</v>
      </c>
    </row>
    <row r="60" s="15" customFormat="1" spans="1:12">
      <c r="A60" s="15" t="s">
        <v>215</v>
      </c>
      <c r="B60" s="15" t="s">
        <v>14</v>
      </c>
      <c r="C60" s="15" t="str">
        <f t="shared" si="0"/>
        <v>0X3B</v>
      </c>
      <c r="D60" s="15">
        <v>59</v>
      </c>
      <c r="E60" s="15">
        <v>0</v>
      </c>
      <c r="F60" s="15">
        <v>1</v>
      </c>
      <c r="G60" s="15">
        <v>1</v>
      </c>
      <c r="H60" s="15">
        <v>1</v>
      </c>
      <c r="I60" s="15" t="s">
        <v>15</v>
      </c>
      <c r="J60" s="15" t="s">
        <v>201</v>
      </c>
      <c r="K60" s="15" t="s">
        <v>215</v>
      </c>
      <c r="L60" s="15" t="s">
        <v>216</v>
      </c>
    </row>
    <row r="61" s="15" customFormat="1" spans="1:12">
      <c r="A61" s="15" t="s">
        <v>217</v>
      </c>
      <c r="B61" s="15" t="s">
        <v>14</v>
      </c>
      <c r="C61" s="15" t="str">
        <f t="shared" si="0"/>
        <v>0X3C</v>
      </c>
      <c r="D61" s="15">
        <v>60</v>
      </c>
      <c r="E61" s="15">
        <v>0</v>
      </c>
      <c r="F61" s="15">
        <v>1</v>
      </c>
      <c r="G61" s="15">
        <v>1</v>
      </c>
      <c r="H61" s="15">
        <v>1</v>
      </c>
      <c r="I61" s="15" t="s">
        <v>15</v>
      </c>
      <c r="J61" s="15" t="s">
        <v>201</v>
      </c>
      <c r="K61" s="15" t="s">
        <v>217</v>
      </c>
      <c r="L61" s="15" t="s">
        <v>218</v>
      </c>
    </row>
    <row r="62" s="15" customFormat="1" spans="1:15">
      <c r="A62" s="15" t="s">
        <v>219</v>
      </c>
      <c r="B62" s="15" t="s">
        <v>14</v>
      </c>
      <c r="C62" s="15" t="str">
        <f t="shared" si="0"/>
        <v>0X3D</v>
      </c>
      <c r="D62" s="15">
        <v>61</v>
      </c>
      <c r="E62" s="15">
        <v>0</v>
      </c>
      <c r="F62" s="15">
        <v>1</v>
      </c>
      <c r="G62" s="15">
        <v>1</v>
      </c>
      <c r="H62" s="15">
        <v>3</v>
      </c>
      <c r="I62" s="15" t="s">
        <v>15</v>
      </c>
      <c r="J62" s="15" t="s">
        <v>201</v>
      </c>
      <c r="K62" s="15" t="s">
        <v>219</v>
      </c>
      <c r="L62" s="15" t="s">
        <v>220</v>
      </c>
      <c r="M62" s="15" t="s">
        <v>221</v>
      </c>
      <c r="N62" s="15" t="s">
        <v>222</v>
      </c>
      <c r="O62" s="15" t="s">
        <v>213</v>
      </c>
    </row>
    <row r="63" s="15" customFormat="1" spans="1:14">
      <c r="A63" s="15" t="s">
        <v>223</v>
      </c>
      <c r="B63" s="15" t="s">
        <v>14</v>
      </c>
      <c r="C63" s="15" t="str">
        <f t="shared" si="0"/>
        <v>0X3E</v>
      </c>
      <c r="D63" s="15">
        <v>62</v>
      </c>
      <c r="E63" s="15">
        <v>0</v>
      </c>
      <c r="F63" s="15">
        <v>1</v>
      </c>
      <c r="G63" s="15">
        <v>1</v>
      </c>
      <c r="H63" s="15">
        <v>6</v>
      </c>
      <c r="I63" s="15" t="s">
        <v>15</v>
      </c>
      <c r="J63" s="15" t="s">
        <v>201</v>
      </c>
      <c r="K63" s="15" t="s">
        <v>223</v>
      </c>
      <c r="L63" s="15" t="s">
        <v>224</v>
      </c>
      <c r="N63" s="15" t="s">
        <v>225</v>
      </c>
    </row>
    <row r="64" s="15" customFormat="1" spans="1:14">
      <c r="A64" s="15" t="s">
        <v>226</v>
      </c>
      <c r="B64" s="15" t="s">
        <v>14</v>
      </c>
      <c r="C64" s="15" t="str">
        <f t="shared" si="0"/>
        <v>0X3F</v>
      </c>
      <c r="D64" s="15">
        <v>63</v>
      </c>
      <c r="E64" s="15">
        <v>0</v>
      </c>
      <c r="F64" s="15">
        <v>1</v>
      </c>
      <c r="G64" s="15">
        <v>1</v>
      </c>
      <c r="H64" s="15">
        <v>3</v>
      </c>
      <c r="I64" s="15" t="s">
        <v>15</v>
      </c>
      <c r="J64" s="15" t="s">
        <v>227</v>
      </c>
      <c r="K64" s="15" t="s">
        <v>226</v>
      </c>
      <c r="L64" s="15" t="s">
        <v>228</v>
      </c>
      <c r="M64" s="15" t="s">
        <v>229</v>
      </c>
      <c r="N64" s="15" t="s">
        <v>230</v>
      </c>
    </row>
    <row r="65" spans="1:14">
      <c r="A65" s="17" t="s">
        <v>231</v>
      </c>
      <c r="B65" s="17" t="s">
        <v>14</v>
      </c>
      <c r="C65" s="17" t="str">
        <f t="shared" si="0"/>
        <v>0X40</v>
      </c>
      <c r="D65" s="17">
        <v>64</v>
      </c>
      <c r="E65" s="17">
        <v>0</v>
      </c>
      <c r="F65" s="17">
        <v>1</v>
      </c>
      <c r="G65" s="17">
        <v>1</v>
      </c>
      <c r="H65" s="17">
        <v>9</v>
      </c>
      <c r="I65" s="17" t="s">
        <v>15</v>
      </c>
      <c r="J65" s="17" t="s">
        <v>227</v>
      </c>
      <c r="K65" s="17" t="s">
        <v>231</v>
      </c>
      <c r="L65" s="17" t="s">
        <v>232</v>
      </c>
      <c r="N65" s="17" t="s">
        <v>233</v>
      </c>
    </row>
    <row r="66" spans="1:12">
      <c r="A66" s="17" t="s">
        <v>234</v>
      </c>
      <c r="B66" s="17" t="s">
        <v>14</v>
      </c>
      <c r="C66" s="17" t="str">
        <f t="shared" ref="C66:C129" si="1">CONCATENATE("0X",DEC2HEX(D66))</f>
        <v>0X41</v>
      </c>
      <c r="D66" s="17">
        <v>65</v>
      </c>
      <c r="E66" s="17">
        <v>0</v>
      </c>
      <c r="F66" s="17">
        <v>1</v>
      </c>
      <c r="G66" s="17">
        <v>1</v>
      </c>
      <c r="H66" s="17">
        <v>16</v>
      </c>
      <c r="I66" s="17" t="s">
        <v>15</v>
      </c>
      <c r="J66" s="17" t="s">
        <v>227</v>
      </c>
      <c r="K66" s="17" t="s">
        <v>234</v>
      </c>
      <c r="L66" s="17" t="s">
        <v>235</v>
      </c>
    </row>
    <row r="67" spans="1:14">
      <c r="A67" s="17" t="s">
        <v>236</v>
      </c>
      <c r="B67" s="17" t="s">
        <v>14</v>
      </c>
      <c r="C67" s="17" t="str">
        <f t="shared" si="1"/>
        <v>0X42</v>
      </c>
      <c r="D67" s="17">
        <v>66</v>
      </c>
      <c r="E67" s="17">
        <v>0</v>
      </c>
      <c r="F67" s="17">
        <v>1</v>
      </c>
      <c r="G67" s="17">
        <v>1</v>
      </c>
      <c r="H67" s="17">
        <v>16</v>
      </c>
      <c r="I67" s="17" t="s">
        <v>15</v>
      </c>
      <c r="J67" s="17" t="s">
        <v>227</v>
      </c>
      <c r="K67" s="17" t="s">
        <v>236</v>
      </c>
      <c r="L67" s="17" t="s">
        <v>237</v>
      </c>
      <c r="M67" s="17" t="s">
        <v>238</v>
      </c>
      <c r="N67" s="17" t="s">
        <v>239</v>
      </c>
    </row>
    <row r="68" spans="1:14">
      <c r="A68" s="17" t="s">
        <v>240</v>
      </c>
      <c r="B68" s="17" t="s">
        <v>14</v>
      </c>
      <c r="C68" s="17" t="str">
        <f t="shared" si="1"/>
        <v>0X43</v>
      </c>
      <c r="D68" s="17">
        <v>67</v>
      </c>
      <c r="E68" s="17">
        <v>0</v>
      </c>
      <c r="F68" s="17">
        <v>1</v>
      </c>
      <c r="G68" s="17">
        <v>1</v>
      </c>
      <c r="H68" s="17">
        <v>1</v>
      </c>
      <c r="I68" s="17" t="s">
        <v>15</v>
      </c>
      <c r="J68" s="17" t="s">
        <v>241</v>
      </c>
      <c r="K68" s="17" t="s">
        <v>240</v>
      </c>
      <c r="L68" s="17" t="s">
        <v>242</v>
      </c>
      <c r="M68" s="17" t="s">
        <v>243</v>
      </c>
      <c r="N68" s="17" t="s">
        <v>244</v>
      </c>
    </row>
    <row r="69" spans="1:14">
      <c r="A69" s="17" t="s">
        <v>245</v>
      </c>
      <c r="B69" s="17" t="s">
        <v>14</v>
      </c>
      <c r="C69" s="17" t="str">
        <f t="shared" si="1"/>
        <v>0X44</v>
      </c>
      <c r="D69" s="17">
        <v>68</v>
      </c>
      <c r="E69" s="17">
        <v>0</v>
      </c>
      <c r="F69" s="17">
        <v>1</v>
      </c>
      <c r="G69" s="17">
        <v>1</v>
      </c>
      <c r="H69" s="17">
        <v>1</v>
      </c>
      <c r="I69" s="17" t="s">
        <v>15</v>
      </c>
      <c r="J69" s="17" t="s">
        <v>241</v>
      </c>
      <c r="K69" s="17" t="s">
        <v>245</v>
      </c>
      <c r="L69" s="17" t="s">
        <v>246</v>
      </c>
      <c r="M69" s="17" t="s">
        <v>247</v>
      </c>
      <c r="N69" s="17" t="s">
        <v>248</v>
      </c>
    </row>
    <row r="70" spans="1:14">
      <c r="A70" s="17" t="s">
        <v>249</v>
      </c>
      <c r="B70" s="17" t="s">
        <v>14</v>
      </c>
      <c r="C70" s="17" t="str">
        <f t="shared" si="1"/>
        <v>0X45</v>
      </c>
      <c r="D70" s="17">
        <v>69</v>
      </c>
      <c r="E70" s="17">
        <v>0</v>
      </c>
      <c r="F70" s="17">
        <v>1</v>
      </c>
      <c r="G70" s="17">
        <v>1</v>
      </c>
      <c r="H70" s="17">
        <v>16</v>
      </c>
      <c r="I70" s="17" t="s">
        <v>15</v>
      </c>
      <c r="J70" s="17" t="s">
        <v>241</v>
      </c>
      <c r="K70" s="17" t="s">
        <v>249</v>
      </c>
      <c r="L70" s="17" t="s">
        <v>235</v>
      </c>
      <c r="M70" s="17" t="s">
        <v>250</v>
      </c>
      <c r="N70" s="17" t="s">
        <v>251</v>
      </c>
    </row>
    <row r="71" spans="1:14">
      <c r="A71" s="17" t="s">
        <v>252</v>
      </c>
      <c r="B71" s="17" t="s">
        <v>14</v>
      </c>
      <c r="C71" s="17" t="str">
        <f t="shared" si="1"/>
        <v>0X46</v>
      </c>
      <c r="D71" s="17">
        <v>70</v>
      </c>
      <c r="E71" s="17">
        <v>0</v>
      </c>
      <c r="F71" s="17">
        <v>1</v>
      </c>
      <c r="G71" s="17">
        <v>1</v>
      </c>
      <c r="H71" s="17">
        <v>16</v>
      </c>
      <c r="I71" s="17" t="s">
        <v>15</v>
      </c>
      <c r="J71" s="17" t="s">
        <v>241</v>
      </c>
      <c r="K71" s="17" t="s">
        <v>252</v>
      </c>
      <c r="L71" s="17" t="s">
        <v>237</v>
      </c>
      <c r="M71" s="17" t="s">
        <v>253</v>
      </c>
      <c r="N71" s="17" t="s">
        <v>254</v>
      </c>
    </row>
    <row r="72" spans="1:14">
      <c r="A72" s="17" t="s">
        <v>255</v>
      </c>
      <c r="B72" s="17" t="s">
        <v>14</v>
      </c>
      <c r="C72" s="17" t="str">
        <f t="shared" si="1"/>
        <v>0X47</v>
      </c>
      <c r="D72" s="17">
        <v>71</v>
      </c>
      <c r="E72" s="17">
        <v>0</v>
      </c>
      <c r="F72" s="17">
        <v>1</v>
      </c>
      <c r="G72" s="17">
        <v>1</v>
      </c>
      <c r="H72" s="17">
        <v>1</v>
      </c>
      <c r="I72" s="17" t="s">
        <v>15</v>
      </c>
      <c r="J72" s="17" t="s">
        <v>241</v>
      </c>
      <c r="K72" s="17" t="s">
        <v>255</v>
      </c>
      <c r="L72" s="17" t="s">
        <v>256</v>
      </c>
      <c r="M72" s="17" t="s">
        <v>257</v>
      </c>
      <c r="N72" s="17" t="s">
        <v>254</v>
      </c>
    </row>
    <row r="73" spans="1:14">
      <c r="A73" s="17" t="s">
        <v>258</v>
      </c>
      <c r="B73" s="17" t="s">
        <v>14</v>
      </c>
      <c r="C73" s="17" t="str">
        <f t="shared" si="1"/>
        <v>0X48</v>
      </c>
      <c r="D73" s="17">
        <v>72</v>
      </c>
      <c r="E73" s="17">
        <v>0</v>
      </c>
      <c r="F73" s="17">
        <v>1</v>
      </c>
      <c r="G73" s="17">
        <v>1</v>
      </c>
      <c r="H73" s="17">
        <v>1</v>
      </c>
      <c r="I73" s="17" t="s">
        <v>15</v>
      </c>
      <c r="J73" s="17" t="s">
        <v>259</v>
      </c>
      <c r="K73" s="17" t="s">
        <v>258</v>
      </c>
      <c r="L73" s="17" t="s">
        <v>246</v>
      </c>
      <c r="M73" s="17" t="s">
        <v>247</v>
      </c>
      <c r="N73" s="17" t="s">
        <v>260</v>
      </c>
    </row>
    <row r="74" spans="1:14">
      <c r="A74" s="17" t="s">
        <v>261</v>
      </c>
      <c r="B74" s="17" t="s">
        <v>14</v>
      </c>
      <c r="C74" s="17" t="str">
        <f t="shared" si="1"/>
        <v>0X49</v>
      </c>
      <c r="D74" s="17">
        <v>73</v>
      </c>
      <c r="E74" s="17">
        <v>0</v>
      </c>
      <c r="F74" s="17">
        <v>1</v>
      </c>
      <c r="G74" s="17">
        <v>1</v>
      </c>
      <c r="H74" s="17">
        <v>1</v>
      </c>
      <c r="I74" s="17" t="s">
        <v>15</v>
      </c>
      <c r="J74" s="17" t="s">
        <v>262</v>
      </c>
      <c r="K74" s="17" t="s">
        <v>261</v>
      </c>
      <c r="L74" s="17" t="s">
        <v>263</v>
      </c>
      <c r="M74" s="17" t="s">
        <v>247</v>
      </c>
      <c r="N74" s="17" t="s">
        <v>264</v>
      </c>
    </row>
    <row r="75" spans="1:14">
      <c r="A75" s="17" t="s">
        <v>265</v>
      </c>
      <c r="B75" s="17" t="s">
        <v>14</v>
      </c>
      <c r="C75" s="17" t="str">
        <f t="shared" si="1"/>
        <v>0X4A</v>
      </c>
      <c r="D75" s="17">
        <v>74</v>
      </c>
      <c r="E75" s="17">
        <v>0</v>
      </c>
      <c r="F75" s="17">
        <v>1</v>
      </c>
      <c r="G75" s="17">
        <v>1</v>
      </c>
      <c r="H75" s="17">
        <v>1</v>
      </c>
      <c r="I75" s="17" t="s">
        <v>15</v>
      </c>
      <c r="J75" s="17" t="s">
        <v>262</v>
      </c>
      <c r="K75" s="17" t="s">
        <v>265</v>
      </c>
      <c r="L75" s="17" t="s">
        <v>266</v>
      </c>
      <c r="M75" s="17" t="s">
        <v>267</v>
      </c>
      <c r="N75" s="17" t="s">
        <v>268</v>
      </c>
    </row>
    <row r="76" spans="1:14">
      <c r="A76" s="17" t="s">
        <v>269</v>
      </c>
      <c r="B76" s="17" t="s">
        <v>14</v>
      </c>
      <c r="C76" s="17" t="str">
        <f t="shared" si="1"/>
        <v>0X4B</v>
      </c>
      <c r="D76" s="17">
        <v>75</v>
      </c>
      <c r="E76" s="17">
        <v>0</v>
      </c>
      <c r="F76" s="17">
        <v>1</v>
      </c>
      <c r="G76" s="17">
        <v>1</v>
      </c>
      <c r="H76" s="17">
        <v>1</v>
      </c>
      <c r="I76" s="17" t="s">
        <v>15</v>
      </c>
      <c r="J76" s="17" t="s">
        <v>262</v>
      </c>
      <c r="K76" s="17" t="s">
        <v>269</v>
      </c>
      <c r="L76" s="17" t="s">
        <v>270</v>
      </c>
      <c r="M76" s="17" t="s">
        <v>247</v>
      </c>
      <c r="N76" s="17" t="s">
        <v>271</v>
      </c>
    </row>
    <row r="77" spans="1:14">
      <c r="A77" s="17" t="s">
        <v>272</v>
      </c>
      <c r="B77" s="17" t="s">
        <v>14</v>
      </c>
      <c r="C77" s="17" t="str">
        <f t="shared" si="1"/>
        <v>0X4C</v>
      </c>
      <c r="D77" s="17">
        <v>76</v>
      </c>
      <c r="E77" s="17">
        <v>0</v>
      </c>
      <c r="F77" s="17">
        <v>1</v>
      </c>
      <c r="G77" s="17">
        <v>1</v>
      </c>
      <c r="H77" s="17">
        <v>16</v>
      </c>
      <c r="I77" s="17" t="s">
        <v>15</v>
      </c>
      <c r="J77" s="17" t="s">
        <v>262</v>
      </c>
      <c r="K77" s="17" t="s">
        <v>272</v>
      </c>
      <c r="L77" s="17" t="s">
        <v>273</v>
      </c>
      <c r="M77" s="17" t="s">
        <v>250</v>
      </c>
      <c r="N77" s="17" t="s">
        <v>274</v>
      </c>
    </row>
    <row r="78" spans="1:14">
      <c r="A78" s="17" t="s">
        <v>275</v>
      </c>
      <c r="B78" s="17" t="s">
        <v>14</v>
      </c>
      <c r="C78" s="17" t="str">
        <f t="shared" si="1"/>
        <v>0X4D</v>
      </c>
      <c r="D78" s="17">
        <v>77</v>
      </c>
      <c r="E78" s="17">
        <v>0</v>
      </c>
      <c r="F78" s="17">
        <v>1</v>
      </c>
      <c r="G78" s="17">
        <v>1</v>
      </c>
      <c r="H78" s="17">
        <v>16</v>
      </c>
      <c r="I78" s="17" t="s">
        <v>15</v>
      </c>
      <c r="J78" s="17" t="s">
        <v>262</v>
      </c>
      <c r="K78" s="17" t="s">
        <v>275</v>
      </c>
      <c r="L78" s="17" t="s">
        <v>276</v>
      </c>
      <c r="M78" s="17" t="s">
        <v>253</v>
      </c>
      <c r="N78" s="17" t="s">
        <v>274</v>
      </c>
    </row>
    <row r="79" spans="1:14">
      <c r="A79" s="17" t="s">
        <v>277</v>
      </c>
      <c r="B79" s="17" t="s">
        <v>14</v>
      </c>
      <c r="C79" s="17" t="str">
        <f t="shared" si="1"/>
        <v>0X4E</v>
      </c>
      <c r="D79" s="17">
        <v>78</v>
      </c>
      <c r="E79" s="17">
        <v>0</v>
      </c>
      <c r="F79" s="17">
        <v>1</v>
      </c>
      <c r="G79" s="17">
        <v>1</v>
      </c>
      <c r="H79" s="17">
        <v>1</v>
      </c>
      <c r="I79" s="17" t="s">
        <v>15</v>
      </c>
      <c r="J79" s="17" t="s">
        <v>262</v>
      </c>
      <c r="K79" s="17" t="s">
        <v>277</v>
      </c>
      <c r="L79" s="17" t="s">
        <v>278</v>
      </c>
      <c r="M79" s="17" t="s">
        <v>257</v>
      </c>
      <c r="N79" s="17" t="s">
        <v>274</v>
      </c>
    </row>
    <row r="80" spans="1:14">
      <c r="A80" s="17" t="s">
        <v>279</v>
      </c>
      <c r="B80" s="17" t="s">
        <v>14</v>
      </c>
      <c r="C80" s="17" t="str">
        <f t="shared" si="1"/>
        <v>0X4F</v>
      </c>
      <c r="D80" s="17">
        <v>79</v>
      </c>
      <c r="E80" s="17">
        <v>0</v>
      </c>
      <c r="F80" s="17">
        <v>1</v>
      </c>
      <c r="G80" s="17">
        <v>1</v>
      </c>
      <c r="H80" s="17">
        <v>16</v>
      </c>
      <c r="I80" s="17" t="s">
        <v>15</v>
      </c>
      <c r="J80" s="17" t="s">
        <v>262</v>
      </c>
      <c r="K80" s="17" t="s">
        <v>279</v>
      </c>
      <c r="L80" s="17" t="s">
        <v>280</v>
      </c>
      <c r="M80" s="17" t="s">
        <v>250</v>
      </c>
      <c r="N80" s="17" t="s">
        <v>281</v>
      </c>
    </row>
    <row r="81" spans="1:14">
      <c r="A81" s="17" t="s">
        <v>282</v>
      </c>
      <c r="B81" s="17" t="s">
        <v>14</v>
      </c>
      <c r="C81" s="17" t="str">
        <f t="shared" si="1"/>
        <v>0X50</v>
      </c>
      <c r="D81" s="17">
        <v>80</v>
      </c>
      <c r="E81" s="17">
        <v>0</v>
      </c>
      <c r="F81" s="17">
        <v>1</v>
      </c>
      <c r="G81" s="17">
        <v>1</v>
      </c>
      <c r="H81" s="17">
        <v>16</v>
      </c>
      <c r="I81" s="17" t="s">
        <v>15</v>
      </c>
      <c r="J81" s="17" t="s">
        <v>262</v>
      </c>
      <c r="K81" s="17" t="s">
        <v>282</v>
      </c>
      <c r="L81" s="17" t="s">
        <v>283</v>
      </c>
      <c r="M81" s="17" t="s">
        <v>253</v>
      </c>
      <c r="N81" s="17" t="s">
        <v>284</v>
      </c>
    </row>
    <row r="82" spans="1:14">
      <c r="A82" s="17" t="s">
        <v>285</v>
      </c>
      <c r="B82" s="17" t="s">
        <v>14</v>
      </c>
      <c r="C82" s="17" t="str">
        <f t="shared" si="1"/>
        <v>0X51</v>
      </c>
      <c r="D82" s="17">
        <v>81</v>
      </c>
      <c r="E82" s="17">
        <v>0</v>
      </c>
      <c r="F82" s="17">
        <v>1</v>
      </c>
      <c r="G82" s="17">
        <v>1</v>
      </c>
      <c r="H82" s="17">
        <v>1</v>
      </c>
      <c r="I82" s="17" t="s">
        <v>15</v>
      </c>
      <c r="J82" s="17" t="s">
        <v>262</v>
      </c>
      <c r="K82" s="17" t="s">
        <v>285</v>
      </c>
      <c r="L82" s="17" t="s">
        <v>286</v>
      </c>
      <c r="M82" s="17" t="s">
        <v>257</v>
      </c>
      <c r="N82" s="17" t="s">
        <v>284</v>
      </c>
    </row>
    <row r="83" spans="1:14">
      <c r="A83" s="17" t="s">
        <v>287</v>
      </c>
      <c r="B83" s="17" t="s">
        <v>14</v>
      </c>
      <c r="C83" s="17" t="str">
        <f t="shared" si="1"/>
        <v>0X52</v>
      </c>
      <c r="D83" s="17">
        <v>82</v>
      </c>
      <c r="E83" s="17">
        <v>0</v>
      </c>
      <c r="F83" s="17">
        <v>1</v>
      </c>
      <c r="G83" s="17">
        <v>1</v>
      </c>
      <c r="H83" s="17">
        <v>1</v>
      </c>
      <c r="I83" s="17" t="s">
        <v>15</v>
      </c>
      <c r="J83" s="17" t="s">
        <v>288</v>
      </c>
      <c r="K83" s="17" t="s">
        <v>287</v>
      </c>
      <c r="L83" s="17" t="s">
        <v>289</v>
      </c>
      <c r="M83" s="17" t="s">
        <v>290</v>
      </c>
      <c r="N83" s="17" t="s">
        <v>291</v>
      </c>
    </row>
    <row r="84" spans="1:13">
      <c r="A84" s="17" t="s">
        <v>292</v>
      </c>
      <c r="B84" s="17" t="s">
        <v>14</v>
      </c>
      <c r="C84" s="17" t="str">
        <f t="shared" si="1"/>
        <v>0X53</v>
      </c>
      <c r="D84" s="17">
        <v>83</v>
      </c>
      <c r="E84" s="17">
        <v>0</v>
      </c>
      <c r="F84" s="17">
        <v>1</v>
      </c>
      <c r="G84" s="17">
        <v>1</v>
      </c>
      <c r="H84" s="17">
        <v>16</v>
      </c>
      <c r="I84" s="17" t="s">
        <v>15</v>
      </c>
      <c r="J84" s="17" t="s">
        <v>288</v>
      </c>
      <c r="K84" s="17" t="s">
        <v>292</v>
      </c>
      <c r="L84" s="17" t="s">
        <v>235</v>
      </c>
      <c r="M84" s="17" t="s">
        <v>293</v>
      </c>
    </row>
    <row r="85" spans="1:13">
      <c r="A85" s="17" t="s">
        <v>294</v>
      </c>
      <c r="B85" s="17" t="s">
        <v>14</v>
      </c>
      <c r="C85" s="17" t="str">
        <f t="shared" si="1"/>
        <v>0X54</v>
      </c>
      <c r="D85" s="17">
        <v>84</v>
      </c>
      <c r="E85" s="17">
        <v>0</v>
      </c>
      <c r="F85" s="17">
        <v>1</v>
      </c>
      <c r="G85" s="17">
        <v>1</v>
      </c>
      <c r="H85" s="17">
        <v>16</v>
      </c>
      <c r="I85" s="17" t="s">
        <v>15</v>
      </c>
      <c r="J85" s="17" t="s">
        <v>288</v>
      </c>
      <c r="K85" s="17" t="s">
        <v>294</v>
      </c>
      <c r="L85" s="17" t="s">
        <v>237</v>
      </c>
      <c r="M85" s="17" t="s">
        <v>295</v>
      </c>
    </row>
    <row r="86" spans="1:14">
      <c r="A86" s="17" t="s">
        <v>296</v>
      </c>
      <c r="B86" s="17" t="s">
        <v>14</v>
      </c>
      <c r="C86" s="17" t="str">
        <f t="shared" si="1"/>
        <v>0X55</v>
      </c>
      <c r="D86" s="17">
        <v>85</v>
      </c>
      <c r="E86" s="17">
        <v>0</v>
      </c>
      <c r="F86" s="17">
        <v>1</v>
      </c>
      <c r="G86" s="17">
        <v>1</v>
      </c>
      <c r="H86" s="17">
        <v>1</v>
      </c>
      <c r="I86" s="17" t="s">
        <v>15</v>
      </c>
      <c r="J86" s="17" t="s">
        <v>288</v>
      </c>
      <c r="K86" s="17" t="s">
        <v>296</v>
      </c>
      <c r="L86" s="17" t="s">
        <v>256</v>
      </c>
      <c r="M86" s="17" t="s">
        <v>297</v>
      </c>
      <c r="N86" s="17" t="s">
        <v>298</v>
      </c>
    </row>
    <row r="87" spans="1:13">
      <c r="A87" s="17" t="s">
        <v>299</v>
      </c>
      <c r="B87" s="17" t="s">
        <v>14</v>
      </c>
      <c r="C87" s="17" t="str">
        <f t="shared" si="1"/>
        <v>0X56</v>
      </c>
      <c r="D87" s="17">
        <v>86</v>
      </c>
      <c r="E87" s="17">
        <v>0</v>
      </c>
      <c r="F87" s="17">
        <v>1</v>
      </c>
      <c r="G87" s="17">
        <v>1</v>
      </c>
      <c r="H87" s="17">
        <v>2</v>
      </c>
      <c r="I87" s="17" t="s">
        <v>15</v>
      </c>
      <c r="J87" s="17" t="s">
        <v>300</v>
      </c>
      <c r="K87" s="17" t="s">
        <v>299</v>
      </c>
      <c r="L87" s="17" t="s">
        <v>289</v>
      </c>
      <c r="M87" s="17" t="s">
        <v>301</v>
      </c>
    </row>
    <row r="88" spans="1:14">
      <c r="A88" s="17" t="s">
        <v>302</v>
      </c>
      <c r="B88" s="17" t="s">
        <v>14</v>
      </c>
      <c r="C88" s="17" t="str">
        <f t="shared" si="1"/>
        <v>0X57</v>
      </c>
      <c r="D88" s="17">
        <v>87</v>
      </c>
      <c r="E88" s="17">
        <v>0</v>
      </c>
      <c r="F88" s="17">
        <v>1</v>
      </c>
      <c r="G88" s="17">
        <v>1</v>
      </c>
      <c r="H88" s="17">
        <v>1</v>
      </c>
      <c r="I88" s="17" t="s">
        <v>15</v>
      </c>
      <c r="J88" s="17" t="s">
        <v>300</v>
      </c>
      <c r="K88" s="17" t="s">
        <v>302</v>
      </c>
      <c r="L88" s="17" t="s">
        <v>246</v>
      </c>
      <c r="M88" s="17" t="s">
        <v>247</v>
      </c>
      <c r="N88" s="17" t="s">
        <v>303</v>
      </c>
    </row>
    <row r="89" spans="1:14">
      <c r="A89" s="17" t="s">
        <v>304</v>
      </c>
      <c r="B89" s="17" t="s">
        <v>14</v>
      </c>
      <c r="C89" s="17" t="str">
        <f t="shared" si="1"/>
        <v>0X58</v>
      </c>
      <c r="D89" s="17">
        <v>88</v>
      </c>
      <c r="E89" s="17">
        <v>0</v>
      </c>
      <c r="F89" s="17">
        <v>1</v>
      </c>
      <c r="G89" s="17">
        <v>1</v>
      </c>
      <c r="H89" s="17">
        <v>16</v>
      </c>
      <c r="I89" s="17" t="s">
        <v>15</v>
      </c>
      <c r="J89" s="17" t="s">
        <v>300</v>
      </c>
      <c r="K89" s="17" t="s">
        <v>304</v>
      </c>
      <c r="L89" s="17" t="s">
        <v>235</v>
      </c>
      <c r="M89" s="17" t="s">
        <v>250</v>
      </c>
      <c r="N89" s="17" t="s">
        <v>305</v>
      </c>
    </row>
    <row r="90" spans="1:14">
      <c r="A90" s="17" t="s">
        <v>306</v>
      </c>
      <c r="B90" s="17" t="s">
        <v>14</v>
      </c>
      <c r="C90" s="17" t="str">
        <f t="shared" si="1"/>
        <v>0X59</v>
      </c>
      <c r="D90" s="17">
        <v>89</v>
      </c>
      <c r="E90" s="17">
        <v>0</v>
      </c>
      <c r="F90" s="17">
        <v>1</v>
      </c>
      <c r="G90" s="17">
        <v>1</v>
      </c>
      <c r="H90" s="17">
        <v>16</v>
      </c>
      <c r="I90" s="17" t="s">
        <v>15</v>
      </c>
      <c r="J90" s="17" t="s">
        <v>300</v>
      </c>
      <c r="K90" s="17" t="s">
        <v>306</v>
      </c>
      <c r="L90" s="17" t="s">
        <v>237</v>
      </c>
      <c r="M90" s="17" t="s">
        <v>253</v>
      </c>
      <c r="N90" s="17" t="s">
        <v>305</v>
      </c>
    </row>
    <row r="91" spans="1:14">
      <c r="A91" s="17" t="s">
        <v>307</v>
      </c>
      <c r="B91" s="17" t="s">
        <v>14</v>
      </c>
      <c r="C91" s="17" t="str">
        <f t="shared" si="1"/>
        <v>0X5A</v>
      </c>
      <c r="D91" s="17">
        <v>90</v>
      </c>
      <c r="E91" s="17">
        <v>0</v>
      </c>
      <c r="F91" s="17">
        <v>1</v>
      </c>
      <c r="G91" s="17">
        <v>1</v>
      </c>
      <c r="H91" s="17">
        <v>1</v>
      </c>
      <c r="I91" s="17" t="s">
        <v>15</v>
      </c>
      <c r="J91" s="17" t="s">
        <v>300</v>
      </c>
      <c r="K91" s="17" t="s">
        <v>307</v>
      </c>
      <c r="L91" s="17" t="s">
        <v>256</v>
      </c>
      <c r="M91" s="17" t="s">
        <v>257</v>
      </c>
      <c r="N91" s="17" t="s">
        <v>308</v>
      </c>
    </row>
    <row r="92" s="15" customFormat="1" spans="1:14">
      <c r="A92" s="15" t="s">
        <v>309</v>
      </c>
      <c r="B92" s="15" t="s">
        <v>14</v>
      </c>
      <c r="C92" s="15" t="str">
        <f t="shared" si="1"/>
        <v>0X5B</v>
      </c>
      <c r="D92" s="15">
        <v>91</v>
      </c>
      <c r="E92" s="15">
        <v>1</v>
      </c>
      <c r="F92" s="15">
        <v>0</v>
      </c>
      <c r="G92" s="15">
        <v>1</v>
      </c>
      <c r="H92" s="15">
        <v>1</v>
      </c>
      <c r="I92" s="15" t="s">
        <v>15</v>
      </c>
      <c r="J92" s="15" t="s">
        <v>162</v>
      </c>
      <c r="K92" s="15" t="s">
        <v>309</v>
      </c>
      <c r="L92" s="15" t="s">
        <v>310</v>
      </c>
      <c r="N92" s="15" t="s">
        <v>311</v>
      </c>
    </row>
    <row r="93" s="15" customFormat="1" spans="1:14">
      <c r="A93" s="15" t="s">
        <v>312</v>
      </c>
      <c r="B93" s="15" t="s">
        <v>14</v>
      </c>
      <c r="C93" s="15" t="str">
        <f t="shared" si="1"/>
        <v>0X5C</v>
      </c>
      <c r="D93" s="15">
        <v>92</v>
      </c>
      <c r="E93" s="15">
        <v>1</v>
      </c>
      <c r="F93" s="15">
        <v>0</v>
      </c>
      <c r="G93" s="15">
        <v>1</v>
      </c>
      <c r="H93" s="15">
        <v>1</v>
      </c>
      <c r="I93" s="15" t="s">
        <v>15</v>
      </c>
      <c r="J93" s="15" t="s">
        <v>162</v>
      </c>
      <c r="K93" s="15" t="s">
        <v>312</v>
      </c>
      <c r="L93" s="15" t="s">
        <v>313</v>
      </c>
      <c r="N93" s="15" t="s">
        <v>311</v>
      </c>
    </row>
    <row r="94" spans="1:14">
      <c r="A94" s="17" t="s">
        <v>314</v>
      </c>
      <c r="B94" s="17" t="s">
        <v>14</v>
      </c>
      <c r="C94" s="17" t="str">
        <f t="shared" si="1"/>
        <v>0X5D</v>
      </c>
      <c r="D94" s="17">
        <v>93</v>
      </c>
      <c r="E94" s="17">
        <v>0</v>
      </c>
      <c r="F94" s="17">
        <v>1</v>
      </c>
      <c r="G94" s="17">
        <v>1</v>
      </c>
      <c r="H94" s="17">
        <v>2</v>
      </c>
      <c r="I94" s="17" t="s">
        <v>15</v>
      </c>
      <c r="J94" s="17" t="s">
        <v>315</v>
      </c>
      <c r="K94" s="17" t="s">
        <v>314</v>
      </c>
      <c r="L94" s="17" t="s">
        <v>289</v>
      </c>
      <c r="M94" s="17" t="s">
        <v>316</v>
      </c>
      <c r="N94" s="17" t="s">
        <v>317</v>
      </c>
    </row>
    <row r="95" spans="1:14">
      <c r="A95" s="17" t="s">
        <v>318</v>
      </c>
      <c r="B95" s="17" t="s">
        <v>14</v>
      </c>
      <c r="C95" s="17" t="str">
        <f t="shared" si="1"/>
        <v>0X5E</v>
      </c>
      <c r="D95" s="17">
        <v>94</v>
      </c>
      <c r="E95" s="17">
        <v>0</v>
      </c>
      <c r="F95" s="17">
        <v>1</v>
      </c>
      <c r="G95" s="17">
        <v>1</v>
      </c>
      <c r="H95" s="17">
        <v>2</v>
      </c>
      <c r="I95" s="17" t="s">
        <v>15</v>
      </c>
      <c r="J95" s="17" t="s">
        <v>315</v>
      </c>
      <c r="K95" s="17" t="s">
        <v>318</v>
      </c>
      <c r="L95" s="17" t="s">
        <v>246</v>
      </c>
      <c r="M95" s="17" t="s">
        <v>319</v>
      </c>
      <c r="N95" s="17" t="s">
        <v>320</v>
      </c>
    </row>
    <row r="96" spans="1:14">
      <c r="A96" s="17" t="s">
        <v>321</v>
      </c>
      <c r="B96" s="17" t="s">
        <v>14</v>
      </c>
      <c r="C96" s="17" t="str">
        <f t="shared" si="1"/>
        <v>0X5F</v>
      </c>
      <c r="D96" s="17">
        <v>95</v>
      </c>
      <c r="E96" s="17">
        <v>0</v>
      </c>
      <c r="F96" s="17">
        <v>1</v>
      </c>
      <c r="G96" s="17">
        <v>1</v>
      </c>
      <c r="H96" s="17">
        <v>16</v>
      </c>
      <c r="I96" s="17" t="s">
        <v>15</v>
      </c>
      <c r="J96" s="17" t="s">
        <v>315</v>
      </c>
      <c r="K96" s="17" t="s">
        <v>322</v>
      </c>
      <c r="L96" s="17" t="s">
        <v>235</v>
      </c>
      <c r="M96" s="17" t="s">
        <v>250</v>
      </c>
      <c r="N96" s="17" t="s">
        <v>323</v>
      </c>
    </row>
    <row r="97" spans="1:14">
      <c r="A97" s="17" t="s">
        <v>324</v>
      </c>
      <c r="B97" s="17" t="s">
        <v>14</v>
      </c>
      <c r="C97" s="17" t="str">
        <f t="shared" si="1"/>
        <v>0X60</v>
      </c>
      <c r="D97" s="17">
        <v>96</v>
      </c>
      <c r="E97" s="17">
        <v>0</v>
      </c>
      <c r="F97" s="17">
        <v>1</v>
      </c>
      <c r="G97" s="17">
        <v>1</v>
      </c>
      <c r="H97" s="17">
        <v>16</v>
      </c>
      <c r="I97" s="17" t="s">
        <v>15</v>
      </c>
      <c r="J97" s="17" t="s">
        <v>315</v>
      </c>
      <c r="K97" s="17" t="s">
        <v>324</v>
      </c>
      <c r="L97" s="17" t="s">
        <v>237</v>
      </c>
      <c r="M97" s="17" t="s">
        <v>253</v>
      </c>
      <c r="N97" s="17" t="s">
        <v>323</v>
      </c>
    </row>
    <row r="98" ht="18" customHeight="1" spans="1:14">
      <c r="A98" s="17" t="s">
        <v>325</v>
      </c>
      <c r="B98" s="17" t="s">
        <v>14</v>
      </c>
      <c r="C98" s="17" t="str">
        <f t="shared" si="1"/>
        <v>0X61</v>
      </c>
      <c r="D98" s="17">
        <v>97</v>
      </c>
      <c r="E98" s="17">
        <v>0</v>
      </c>
      <c r="F98" s="17">
        <v>1</v>
      </c>
      <c r="G98" s="17">
        <v>1</v>
      </c>
      <c r="H98" s="17">
        <v>1</v>
      </c>
      <c r="I98" s="17" t="s">
        <v>15</v>
      </c>
      <c r="J98" s="17" t="s">
        <v>315</v>
      </c>
      <c r="K98" s="17" t="s">
        <v>325</v>
      </c>
      <c r="L98" s="17" t="s">
        <v>256</v>
      </c>
      <c r="M98" s="17" t="s">
        <v>257</v>
      </c>
      <c r="N98" s="19" t="s">
        <v>326</v>
      </c>
    </row>
    <row r="99" spans="1:14">
      <c r="A99" s="17" t="s">
        <v>327</v>
      </c>
      <c r="B99" s="17" t="s">
        <v>14</v>
      </c>
      <c r="C99" s="17" t="str">
        <f t="shared" si="1"/>
        <v>0X62</v>
      </c>
      <c r="D99" s="17">
        <v>98</v>
      </c>
      <c r="E99" s="17">
        <v>0</v>
      </c>
      <c r="F99" s="17">
        <v>1</v>
      </c>
      <c r="G99" s="17">
        <v>1</v>
      </c>
      <c r="H99" s="17">
        <v>3</v>
      </c>
      <c r="I99" s="17" t="s">
        <v>15</v>
      </c>
      <c r="J99" s="17" t="s">
        <v>328</v>
      </c>
      <c r="K99" s="17" t="s">
        <v>327</v>
      </c>
      <c r="L99" s="17" t="s">
        <v>289</v>
      </c>
      <c r="M99" s="17" t="s">
        <v>329</v>
      </c>
      <c r="N99" s="17" t="s">
        <v>330</v>
      </c>
    </row>
    <row r="100" spans="1:13">
      <c r="A100" s="17" t="s">
        <v>331</v>
      </c>
      <c r="B100" s="17" t="s">
        <v>14</v>
      </c>
      <c r="C100" s="17" t="str">
        <f t="shared" si="1"/>
        <v>0X63</v>
      </c>
      <c r="D100" s="17">
        <v>99</v>
      </c>
      <c r="F100" s="17">
        <v>1</v>
      </c>
      <c r="G100" s="17">
        <v>1</v>
      </c>
      <c r="H100" s="17">
        <v>16</v>
      </c>
      <c r="I100" s="17" t="s">
        <v>15</v>
      </c>
      <c r="J100" s="17" t="s">
        <v>328</v>
      </c>
      <c r="K100" s="17" t="s">
        <v>331</v>
      </c>
      <c r="L100" s="17" t="s">
        <v>235</v>
      </c>
      <c r="M100" s="17" t="s">
        <v>293</v>
      </c>
    </row>
    <row r="101" spans="1:13">
      <c r="A101" s="17" t="s">
        <v>332</v>
      </c>
      <c r="B101" s="17" t="s">
        <v>14</v>
      </c>
      <c r="C101" s="17" t="str">
        <f t="shared" si="1"/>
        <v>0X64</v>
      </c>
      <c r="D101" s="17">
        <v>100</v>
      </c>
      <c r="F101" s="17">
        <v>1</v>
      </c>
      <c r="G101" s="17">
        <v>1</v>
      </c>
      <c r="H101" s="17">
        <v>16</v>
      </c>
      <c r="I101" s="17" t="s">
        <v>15</v>
      </c>
      <c r="J101" s="17" t="s">
        <v>328</v>
      </c>
      <c r="K101" s="17" t="s">
        <v>332</v>
      </c>
      <c r="L101" s="17" t="s">
        <v>237</v>
      </c>
      <c r="M101" s="17" t="s">
        <v>295</v>
      </c>
    </row>
    <row r="102" spans="1:14">
      <c r="A102" s="17" t="s">
        <v>333</v>
      </c>
      <c r="B102" s="17" t="s">
        <v>14</v>
      </c>
      <c r="C102" s="17" t="str">
        <f t="shared" si="1"/>
        <v>0X65</v>
      </c>
      <c r="D102" s="17">
        <v>101</v>
      </c>
      <c r="E102" s="17">
        <v>0</v>
      </c>
      <c r="F102" s="17">
        <v>1</v>
      </c>
      <c r="G102" s="17">
        <v>1</v>
      </c>
      <c r="H102" s="17">
        <v>1</v>
      </c>
      <c r="I102" s="17" t="s">
        <v>15</v>
      </c>
      <c r="J102" s="17" t="s">
        <v>328</v>
      </c>
      <c r="K102" s="17" t="s">
        <v>333</v>
      </c>
      <c r="L102" s="17" t="s">
        <v>256</v>
      </c>
      <c r="M102" s="17" t="s">
        <v>297</v>
      </c>
      <c r="N102" s="17" t="s">
        <v>334</v>
      </c>
    </row>
    <row r="103" spans="1:14">
      <c r="A103" s="17" t="s">
        <v>335</v>
      </c>
      <c r="B103" s="17" t="s">
        <v>14</v>
      </c>
      <c r="C103" s="17" t="str">
        <f t="shared" si="1"/>
        <v>0X66</v>
      </c>
      <c r="D103" s="17">
        <v>102</v>
      </c>
      <c r="E103" s="17">
        <v>0</v>
      </c>
      <c r="F103" s="17">
        <v>1</v>
      </c>
      <c r="G103" s="17">
        <v>1</v>
      </c>
      <c r="H103" s="17">
        <v>2</v>
      </c>
      <c r="I103" s="17" t="s">
        <v>15</v>
      </c>
      <c r="J103" s="17" t="s">
        <v>336</v>
      </c>
      <c r="K103" s="17" t="s">
        <v>335</v>
      </c>
      <c r="L103" s="17" t="s">
        <v>337</v>
      </c>
      <c r="M103" s="17" t="s">
        <v>338</v>
      </c>
      <c r="N103" s="17" t="s">
        <v>339</v>
      </c>
    </row>
    <row r="104" spans="1:13">
      <c r="A104" s="17" t="s">
        <v>340</v>
      </c>
      <c r="B104" s="17" t="s">
        <v>14</v>
      </c>
      <c r="C104" s="17" t="str">
        <f t="shared" si="1"/>
        <v>0X67</v>
      </c>
      <c r="D104" s="17">
        <v>103</v>
      </c>
      <c r="G104" s="17">
        <v>1</v>
      </c>
      <c r="H104" s="17">
        <v>16</v>
      </c>
      <c r="I104" s="17" t="s">
        <v>15</v>
      </c>
      <c r="J104" s="17" t="s">
        <v>336</v>
      </c>
      <c r="K104" s="17" t="s">
        <v>340</v>
      </c>
      <c r="L104" s="17" t="s">
        <v>341</v>
      </c>
      <c r="M104" s="17" t="s">
        <v>293</v>
      </c>
    </row>
    <row r="105" spans="1:14">
      <c r="A105" s="17" t="s">
        <v>342</v>
      </c>
      <c r="B105" s="17" t="s">
        <v>14</v>
      </c>
      <c r="C105" s="17" t="str">
        <f t="shared" si="1"/>
        <v>0X68</v>
      </c>
      <c r="D105" s="17">
        <v>104</v>
      </c>
      <c r="E105" s="17">
        <v>0</v>
      </c>
      <c r="F105" s="17">
        <v>1</v>
      </c>
      <c r="G105" s="17">
        <v>1</v>
      </c>
      <c r="H105" s="17">
        <v>16</v>
      </c>
      <c r="I105" s="17" t="s">
        <v>15</v>
      </c>
      <c r="J105" s="17" t="s">
        <v>336</v>
      </c>
      <c r="K105" s="17" t="s">
        <v>342</v>
      </c>
      <c r="L105" s="17" t="s">
        <v>343</v>
      </c>
      <c r="M105" s="17" t="s">
        <v>295</v>
      </c>
      <c r="N105" s="17" t="s">
        <v>344</v>
      </c>
    </row>
    <row r="106" spans="1:14">
      <c r="A106" s="17" t="s">
        <v>345</v>
      </c>
      <c r="B106" s="17" t="s">
        <v>14</v>
      </c>
      <c r="C106" s="17" t="str">
        <f t="shared" si="1"/>
        <v>0X69</v>
      </c>
      <c r="D106" s="17">
        <v>105</v>
      </c>
      <c r="E106" s="17">
        <v>0</v>
      </c>
      <c r="F106" s="17">
        <v>1</v>
      </c>
      <c r="G106" s="17">
        <v>1</v>
      </c>
      <c r="H106" s="17">
        <v>3</v>
      </c>
      <c r="I106" s="17" t="s">
        <v>15</v>
      </c>
      <c r="J106" s="17" t="s">
        <v>346</v>
      </c>
      <c r="K106" s="17" t="s">
        <v>345</v>
      </c>
      <c r="L106" s="17" t="s">
        <v>347</v>
      </c>
      <c r="M106" s="17" t="s">
        <v>348</v>
      </c>
      <c r="N106" s="17" t="s">
        <v>349</v>
      </c>
    </row>
    <row r="107" spans="1:14">
      <c r="A107" s="17" t="s">
        <v>350</v>
      </c>
      <c r="B107" s="17" t="s">
        <v>14</v>
      </c>
      <c r="C107" s="17" t="str">
        <f t="shared" si="1"/>
        <v>0X6A</v>
      </c>
      <c r="D107" s="17">
        <v>106</v>
      </c>
      <c r="E107" s="17">
        <v>0</v>
      </c>
      <c r="F107" s="17">
        <v>1</v>
      </c>
      <c r="G107" s="17">
        <v>1</v>
      </c>
      <c r="H107" s="17">
        <v>16</v>
      </c>
      <c r="I107" s="17" t="s">
        <v>15</v>
      </c>
      <c r="J107" s="17" t="s">
        <v>346</v>
      </c>
      <c r="K107" s="17" t="s">
        <v>351</v>
      </c>
      <c r="L107" s="17" t="s">
        <v>235</v>
      </c>
      <c r="M107" s="17" t="s">
        <v>250</v>
      </c>
      <c r="N107" s="19" t="s">
        <v>352</v>
      </c>
    </row>
    <row r="108" spans="1:14">
      <c r="A108" s="17" t="s">
        <v>353</v>
      </c>
      <c r="B108" s="17" t="s">
        <v>14</v>
      </c>
      <c r="C108" s="17" t="str">
        <f t="shared" si="1"/>
        <v>0X6B</v>
      </c>
      <c r="D108" s="17">
        <v>107</v>
      </c>
      <c r="E108" s="17">
        <v>0</v>
      </c>
      <c r="F108" s="17">
        <v>1</v>
      </c>
      <c r="G108" s="17">
        <v>1</v>
      </c>
      <c r="H108" s="17">
        <v>16</v>
      </c>
      <c r="I108" s="17" t="s">
        <v>15</v>
      </c>
      <c r="J108" s="17" t="s">
        <v>346</v>
      </c>
      <c r="K108" s="17" t="s">
        <v>353</v>
      </c>
      <c r="L108" s="17" t="s">
        <v>237</v>
      </c>
      <c r="M108" s="17" t="s">
        <v>253</v>
      </c>
      <c r="N108" s="19" t="s">
        <v>352</v>
      </c>
    </row>
    <row r="109" spans="1:14">
      <c r="A109" s="17" t="s">
        <v>354</v>
      </c>
      <c r="B109" s="17" t="s">
        <v>14</v>
      </c>
      <c r="C109" s="17" t="str">
        <f t="shared" si="1"/>
        <v>0X6C</v>
      </c>
      <c r="D109" s="17">
        <v>108</v>
      </c>
      <c r="E109" s="17">
        <v>0</v>
      </c>
      <c r="F109" s="17">
        <v>1</v>
      </c>
      <c r="G109" s="17">
        <v>1</v>
      </c>
      <c r="H109" s="17">
        <v>1</v>
      </c>
      <c r="I109" s="17" t="s">
        <v>15</v>
      </c>
      <c r="J109" s="17" t="s">
        <v>346</v>
      </c>
      <c r="K109" s="17" t="s">
        <v>354</v>
      </c>
      <c r="L109" s="17" t="s">
        <v>256</v>
      </c>
      <c r="M109" s="17" t="s">
        <v>257</v>
      </c>
      <c r="N109" s="19" t="s">
        <v>355</v>
      </c>
    </row>
    <row r="110" spans="1:14">
      <c r="A110" s="17" t="s">
        <v>356</v>
      </c>
      <c r="B110" s="17" t="s">
        <v>14</v>
      </c>
      <c r="C110" s="17" t="str">
        <f t="shared" si="1"/>
        <v>0X6D</v>
      </c>
      <c r="D110" s="17">
        <v>109</v>
      </c>
      <c r="E110" s="17">
        <v>0</v>
      </c>
      <c r="F110" s="17">
        <v>1</v>
      </c>
      <c r="G110" s="17">
        <v>1</v>
      </c>
      <c r="H110" s="17">
        <v>15</v>
      </c>
      <c r="I110" s="17" t="s">
        <v>15</v>
      </c>
      <c r="J110" s="17" t="s">
        <v>357</v>
      </c>
      <c r="K110" s="17" t="s">
        <v>356</v>
      </c>
      <c r="L110" s="17" t="s">
        <v>358</v>
      </c>
      <c r="N110" s="17" t="s">
        <v>359</v>
      </c>
    </row>
    <row r="111" spans="1:14">
      <c r="A111" s="17" t="s">
        <v>360</v>
      </c>
      <c r="B111" s="17" t="s">
        <v>14</v>
      </c>
      <c r="C111" s="17" t="str">
        <f t="shared" si="1"/>
        <v>0X6E</v>
      </c>
      <c r="D111" s="17">
        <v>110</v>
      </c>
      <c r="E111" s="17">
        <v>0</v>
      </c>
      <c r="F111" s="17">
        <v>1</v>
      </c>
      <c r="G111" s="17">
        <v>1</v>
      </c>
      <c r="H111" s="17">
        <v>1</v>
      </c>
      <c r="I111" s="17" t="s">
        <v>15</v>
      </c>
      <c r="J111" s="17" t="s">
        <v>361</v>
      </c>
      <c r="K111" s="17" t="s">
        <v>360</v>
      </c>
      <c r="L111" s="17" t="s">
        <v>362</v>
      </c>
      <c r="M111" s="17" t="s">
        <v>363</v>
      </c>
      <c r="N111" s="17" t="s">
        <v>364</v>
      </c>
    </row>
    <row r="112" spans="1:14">
      <c r="A112" s="17" t="s">
        <v>365</v>
      </c>
      <c r="B112" s="17" t="s">
        <v>14</v>
      </c>
      <c r="C112" s="17" t="str">
        <f t="shared" si="1"/>
        <v>0X6F</v>
      </c>
      <c r="D112" s="17">
        <v>111</v>
      </c>
      <c r="E112" s="17">
        <v>0</v>
      </c>
      <c r="F112" s="17">
        <v>1</v>
      </c>
      <c r="G112" s="17">
        <v>1</v>
      </c>
      <c r="H112" s="17">
        <v>16</v>
      </c>
      <c r="I112" s="17" t="s">
        <v>15</v>
      </c>
      <c r="J112" s="17" t="s">
        <v>361</v>
      </c>
      <c r="K112" s="17" t="s">
        <v>365</v>
      </c>
      <c r="L112" s="17" t="s">
        <v>235</v>
      </c>
      <c r="M112" s="17" t="s">
        <v>250</v>
      </c>
      <c r="N112" s="17" t="s">
        <v>366</v>
      </c>
    </row>
    <row r="113" spans="1:14">
      <c r="A113" s="17" t="s">
        <v>367</v>
      </c>
      <c r="B113" s="17" t="s">
        <v>14</v>
      </c>
      <c r="C113" s="17" t="str">
        <f t="shared" si="1"/>
        <v>0X70</v>
      </c>
      <c r="D113" s="17">
        <v>112</v>
      </c>
      <c r="E113" s="17">
        <v>0</v>
      </c>
      <c r="F113" s="17">
        <v>1</v>
      </c>
      <c r="G113" s="17">
        <v>1</v>
      </c>
      <c r="H113" s="17">
        <v>16</v>
      </c>
      <c r="I113" s="17" t="s">
        <v>15</v>
      </c>
      <c r="J113" s="17" t="s">
        <v>361</v>
      </c>
      <c r="K113" s="17" t="s">
        <v>367</v>
      </c>
      <c r="L113" s="17" t="s">
        <v>237</v>
      </c>
      <c r="M113" s="17" t="s">
        <v>253</v>
      </c>
      <c r="N113" s="17" t="s">
        <v>368</v>
      </c>
    </row>
    <row r="114" spans="1:14">
      <c r="A114" s="17" t="s">
        <v>369</v>
      </c>
      <c r="B114" s="17" t="s">
        <v>14</v>
      </c>
      <c r="C114" s="17" t="str">
        <f t="shared" si="1"/>
        <v>0X71</v>
      </c>
      <c r="D114" s="17">
        <v>113</v>
      </c>
      <c r="E114" s="17">
        <v>0</v>
      </c>
      <c r="F114" s="17">
        <v>1</v>
      </c>
      <c r="G114" s="17">
        <v>1</v>
      </c>
      <c r="H114" s="17">
        <v>1</v>
      </c>
      <c r="I114" s="17" t="s">
        <v>15</v>
      </c>
      <c r="J114" s="17" t="s">
        <v>361</v>
      </c>
      <c r="K114" s="17" t="s">
        <v>369</v>
      </c>
      <c r="L114" s="17" t="s">
        <v>256</v>
      </c>
      <c r="M114" s="17" t="s">
        <v>257</v>
      </c>
      <c r="N114" s="17" t="s">
        <v>368</v>
      </c>
    </row>
    <row r="115" spans="1:14">
      <c r="A115" s="17" t="s">
        <v>370</v>
      </c>
      <c r="B115" s="17" t="s">
        <v>14</v>
      </c>
      <c r="C115" s="17" t="str">
        <f t="shared" si="1"/>
        <v>0X72</v>
      </c>
      <c r="D115" s="17">
        <v>114</v>
      </c>
      <c r="E115" s="17">
        <v>0</v>
      </c>
      <c r="F115" s="17">
        <v>1</v>
      </c>
      <c r="G115" s="17">
        <v>1</v>
      </c>
      <c r="H115" s="17">
        <v>11</v>
      </c>
      <c r="I115" s="17" t="s">
        <v>15</v>
      </c>
      <c r="J115" s="17" t="s">
        <v>371</v>
      </c>
      <c r="K115" s="17" t="s">
        <v>370</v>
      </c>
      <c r="L115" s="17" t="s">
        <v>372</v>
      </c>
      <c r="N115" s="17" t="s">
        <v>373</v>
      </c>
    </row>
    <row r="116" spans="1:13">
      <c r="A116" s="17" t="s">
        <v>374</v>
      </c>
      <c r="B116" s="17" t="s">
        <v>14</v>
      </c>
      <c r="C116" s="17" t="str">
        <f t="shared" si="1"/>
        <v>0X73</v>
      </c>
      <c r="D116" s="17">
        <v>115</v>
      </c>
      <c r="E116" s="17">
        <v>0</v>
      </c>
      <c r="F116" s="17">
        <v>1</v>
      </c>
      <c r="G116" s="17">
        <v>1</v>
      </c>
      <c r="H116" s="17">
        <v>3</v>
      </c>
      <c r="I116" s="17" t="s">
        <v>15</v>
      </c>
      <c r="J116" s="17" t="s">
        <v>371</v>
      </c>
      <c r="K116" s="17" t="s">
        <v>374</v>
      </c>
      <c r="L116" s="17" t="s">
        <v>375</v>
      </c>
      <c r="M116" s="17" t="s">
        <v>376</v>
      </c>
    </row>
    <row r="117" spans="1:14">
      <c r="A117" s="17" t="s">
        <v>377</v>
      </c>
      <c r="B117" s="17" t="s">
        <v>14</v>
      </c>
      <c r="C117" s="17" t="str">
        <f t="shared" si="1"/>
        <v>0X74</v>
      </c>
      <c r="D117" s="17">
        <v>116</v>
      </c>
      <c r="E117" s="17">
        <v>0</v>
      </c>
      <c r="F117" s="17">
        <v>1</v>
      </c>
      <c r="G117" s="17">
        <v>1</v>
      </c>
      <c r="H117" s="17">
        <v>11</v>
      </c>
      <c r="I117" s="17" t="s">
        <v>15</v>
      </c>
      <c r="J117" s="17" t="s">
        <v>371</v>
      </c>
      <c r="K117" s="17" t="s">
        <v>377</v>
      </c>
      <c r="L117" s="17" t="s">
        <v>378</v>
      </c>
      <c r="N117" s="17" t="s">
        <v>379</v>
      </c>
    </row>
    <row r="118" spans="1:14">
      <c r="A118" s="17" t="s">
        <v>380</v>
      </c>
      <c r="B118" s="17" t="s">
        <v>14</v>
      </c>
      <c r="C118" s="17" t="str">
        <f t="shared" si="1"/>
        <v>0X75</v>
      </c>
      <c r="D118" s="17">
        <v>117</v>
      </c>
      <c r="E118" s="17">
        <v>0</v>
      </c>
      <c r="F118" s="17">
        <v>1</v>
      </c>
      <c r="G118" s="17">
        <v>1</v>
      </c>
      <c r="H118" s="17">
        <v>3</v>
      </c>
      <c r="I118" s="17" t="s">
        <v>15</v>
      </c>
      <c r="J118" s="17" t="s">
        <v>371</v>
      </c>
      <c r="K118" s="17" t="s">
        <v>380</v>
      </c>
      <c r="L118" s="17" t="s">
        <v>381</v>
      </c>
      <c r="M118" s="17" t="s">
        <v>382</v>
      </c>
      <c r="N118" s="17" t="s">
        <v>383</v>
      </c>
    </row>
    <row r="119" spans="1:19">
      <c r="A119" t="s">
        <v>384</v>
      </c>
      <c r="B119" s="17" t="s">
        <v>14</v>
      </c>
      <c r="C119" s="17" t="str">
        <f t="shared" si="1"/>
        <v>0X76</v>
      </c>
      <c r="D119" s="17">
        <v>118</v>
      </c>
      <c r="E119">
        <v>0</v>
      </c>
      <c r="F119" s="21">
        <v>1</v>
      </c>
      <c r="G119">
        <v>1</v>
      </c>
      <c r="H119">
        <v>1</v>
      </c>
      <c r="I119" s="17" t="s">
        <v>15</v>
      </c>
      <c r="J119" t="s">
        <v>385</v>
      </c>
      <c r="K119" t="s">
        <v>384</v>
      </c>
      <c r="L119" t="s">
        <v>386</v>
      </c>
      <c r="M119" t="s">
        <v>18</v>
      </c>
      <c r="N119" t="s">
        <v>387</v>
      </c>
      <c r="O119"/>
      <c r="P119"/>
      <c r="Q119"/>
      <c r="R119"/>
      <c r="S119"/>
    </row>
    <row r="120" spans="1:19">
      <c r="A120" t="s">
        <v>388</v>
      </c>
      <c r="B120" s="17" t="s">
        <v>14</v>
      </c>
      <c r="C120" s="17" t="str">
        <f t="shared" si="1"/>
        <v>0X77</v>
      </c>
      <c r="D120" s="17">
        <v>119</v>
      </c>
      <c r="E120">
        <v>0</v>
      </c>
      <c r="F120">
        <v>1</v>
      </c>
      <c r="G120">
        <v>1</v>
      </c>
      <c r="H120">
        <v>1</v>
      </c>
      <c r="I120" s="17" t="s">
        <v>15</v>
      </c>
      <c r="J120" t="s">
        <v>385</v>
      </c>
      <c r="K120" t="s">
        <v>388</v>
      </c>
      <c r="L120" t="s">
        <v>389</v>
      </c>
      <c r="M120" t="s">
        <v>18</v>
      </c>
      <c r="N120" t="s">
        <v>390</v>
      </c>
      <c r="O120"/>
      <c r="P120"/>
      <c r="Q120"/>
      <c r="R120"/>
      <c r="S120"/>
    </row>
    <row r="121" spans="1:19">
      <c r="A121" t="s">
        <v>391</v>
      </c>
      <c r="B121" s="17" t="s">
        <v>14</v>
      </c>
      <c r="C121" s="17" t="str">
        <f t="shared" si="1"/>
        <v>0X78</v>
      </c>
      <c r="D121" s="17">
        <v>120</v>
      </c>
      <c r="E121">
        <v>0</v>
      </c>
      <c r="F121">
        <v>1</v>
      </c>
      <c r="G121">
        <v>1</v>
      </c>
      <c r="H121">
        <v>16</v>
      </c>
      <c r="I121" s="17" t="s">
        <v>15</v>
      </c>
      <c r="J121" t="s">
        <v>385</v>
      </c>
      <c r="K121" t="s">
        <v>391</v>
      </c>
      <c r="L121" t="s">
        <v>391</v>
      </c>
      <c r="M121" t="s">
        <v>392</v>
      </c>
      <c r="N121" t="s">
        <v>393</v>
      </c>
      <c r="O121"/>
      <c r="P121"/>
      <c r="Q121"/>
      <c r="R121"/>
      <c r="S121"/>
    </row>
    <row r="122" spans="1:19">
      <c r="A122" t="s">
        <v>394</v>
      </c>
      <c r="B122" s="17" t="s">
        <v>14</v>
      </c>
      <c r="C122" s="17" t="str">
        <f t="shared" si="1"/>
        <v>0X79</v>
      </c>
      <c r="D122" s="17">
        <v>121</v>
      </c>
      <c r="E122">
        <v>0</v>
      </c>
      <c r="F122">
        <v>1</v>
      </c>
      <c r="G122">
        <v>1</v>
      </c>
      <c r="H122">
        <v>16</v>
      </c>
      <c r="I122" s="17" t="s">
        <v>15</v>
      </c>
      <c r="J122" t="s">
        <v>385</v>
      </c>
      <c r="K122" t="s">
        <v>394</v>
      </c>
      <c r="L122" t="s">
        <v>394</v>
      </c>
      <c r="M122" t="s">
        <v>392</v>
      </c>
      <c r="N122" t="s">
        <v>395</v>
      </c>
      <c r="O122"/>
      <c r="P122"/>
      <c r="Q122"/>
      <c r="R122"/>
      <c r="S122"/>
    </row>
    <row r="123" spans="1:19">
      <c r="A123" t="s">
        <v>396</v>
      </c>
      <c r="B123" s="17" t="s">
        <v>14</v>
      </c>
      <c r="C123" s="17" t="str">
        <f t="shared" si="1"/>
        <v>0X7A</v>
      </c>
      <c r="D123" s="17">
        <v>122</v>
      </c>
      <c r="E123">
        <v>0</v>
      </c>
      <c r="F123">
        <v>1</v>
      </c>
      <c r="G123">
        <v>1</v>
      </c>
      <c r="H123">
        <v>10</v>
      </c>
      <c r="I123" s="17" t="s">
        <v>15</v>
      </c>
      <c r="J123" t="s">
        <v>385</v>
      </c>
      <c r="K123" t="s">
        <v>396</v>
      </c>
      <c r="L123" t="s">
        <v>397</v>
      </c>
      <c r="M123" t="s">
        <v>398</v>
      </c>
      <c r="N123" t="s">
        <v>399</v>
      </c>
      <c r="O123"/>
      <c r="P123"/>
      <c r="Q123"/>
      <c r="R123"/>
      <c r="S123"/>
    </row>
    <row r="124" spans="1:19">
      <c r="A124" t="s">
        <v>400</v>
      </c>
      <c r="B124" s="17" t="s">
        <v>14</v>
      </c>
      <c r="C124" s="17" t="str">
        <f t="shared" si="1"/>
        <v>0X7B</v>
      </c>
      <c r="D124" s="17">
        <v>123</v>
      </c>
      <c r="E124">
        <v>0</v>
      </c>
      <c r="F124">
        <v>1</v>
      </c>
      <c r="G124">
        <v>1</v>
      </c>
      <c r="H124">
        <v>10</v>
      </c>
      <c r="I124" s="17" t="s">
        <v>15</v>
      </c>
      <c r="J124" t="s">
        <v>385</v>
      </c>
      <c r="K124" t="s">
        <v>400</v>
      </c>
      <c r="L124" t="s">
        <v>401</v>
      </c>
      <c r="M124" t="s">
        <v>402</v>
      </c>
      <c r="N124" t="s">
        <v>403</v>
      </c>
      <c r="O124"/>
      <c r="P124"/>
      <c r="Q124"/>
      <c r="R124"/>
      <c r="S124"/>
    </row>
    <row r="125" spans="1:19">
      <c r="A125" t="s">
        <v>404</v>
      </c>
      <c r="B125" s="17" t="s">
        <v>14</v>
      </c>
      <c r="C125" s="17" t="str">
        <f t="shared" si="1"/>
        <v>0X7C</v>
      </c>
      <c r="D125" s="17">
        <v>124</v>
      </c>
      <c r="E125">
        <v>0</v>
      </c>
      <c r="F125">
        <v>1</v>
      </c>
      <c r="G125">
        <v>1</v>
      </c>
      <c r="H125">
        <v>1</v>
      </c>
      <c r="I125" s="17" t="s">
        <v>15</v>
      </c>
      <c r="J125" t="s">
        <v>385</v>
      </c>
      <c r="K125" t="s">
        <v>404</v>
      </c>
      <c r="L125" t="s">
        <v>405</v>
      </c>
      <c r="M125" t="s">
        <v>406</v>
      </c>
      <c r="N125" t="s">
        <v>407</v>
      </c>
      <c r="O125"/>
      <c r="P125"/>
      <c r="Q125"/>
      <c r="R125"/>
      <c r="S125"/>
    </row>
    <row r="126" spans="1:19">
      <c r="A126" t="s">
        <v>408</v>
      </c>
      <c r="B126" s="17" t="s">
        <v>14</v>
      </c>
      <c r="C126" s="17" t="str">
        <f t="shared" si="1"/>
        <v>0X7D</v>
      </c>
      <c r="D126" s="17">
        <v>125</v>
      </c>
      <c r="E126">
        <v>0</v>
      </c>
      <c r="F126">
        <v>1</v>
      </c>
      <c r="G126">
        <v>1</v>
      </c>
      <c r="H126">
        <v>12</v>
      </c>
      <c r="I126" s="17" t="s">
        <v>15</v>
      </c>
      <c r="J126" t="s">
        <v>385</v>
      </c>
      <c r="K126" t="s">
        <v>408</v>
      </c>
      <c r="L126" t="s">
        <v>409</v>
      </c>
      <c r="M126" t="s">
        <v>410</v>
      </c>
      <c r="N126" t="s">
        <v>411</v>
      </c>
      <c r="O126"/>
      <c r="P126"/>
      <c r="Q126"/>
      <c r="R126"/>
      <c r="S126"/>
    </row>
    <row r="127" spans="1:19">
      <c r="A127" t="s">
        <v>412</v>
      </c>
      <c r="B127" s="17" t="s">
        <v>14</v>
      </c>
      <c r="C127" s="17" t="str">
        <f t="shared" si="1"/>
        <v>0X7E</v>
      </c>
      <c r="D127" s="17">
        <v>126</v>
      </c>
      <c r="E127">
        <v>0</v>
      </c>
      <c r="F127">
        <v>1</v>
      </c>
      <c r="G127">
        <v>1</v>
      </c>
      <c r="H127">
        <v>14</v>
      </c>
      <c r="I127" s="17" t="s">
        <v>15</v>
      </c>
      <c r="J127" t="s">
        <v>385</v>
      </c>
      <c r="K127" t="s">
        <v>412</v>
      </c>
      <c r="L127" t="s">
        <v>413</v>
      </c>
      <c r="M127" t="s">
        <v>414</v>
      </c>
      <c r="N127" t="s">
        <v>415</v>
      </c>
      <c r="O127"/>
      <c r="P127"/>
      <c r="Q127"/>
      <c r="R127"/>
      <c r="S127"/>
    </row>
    <row r="128" spans="1:19">
      <c r="A128" t="s">
        <v>416</v>
      </c>
      <c r="B128" s="17" t="s">
        <v>14</v>
      </c>
      <c r="C128" s="17" t="str">
        <f t="shared" si="1"/>
        <v>0X7F</v>
      </c>
      <c r="D128" s="17">
        <v>127</v>
      </c>
      <c r="E128">
        <v>0</v>
      </c>
      <c r="F128">
        <v>1</v>
      </c>
      <c r="G128">
        <v>1</v>
      </c>
      <c r="H128">
        <v>1</v>
      </c>
      <c r="I128" s="17" t="s">
        <v>15</v>
      </c>
      <c r="J128" t="s">
        <v>385</v>
      </c>
      <c r="K128" t="s">
        <v>416</v>
      </c>
      <c r="L128" t="s">
        <v>417</v>
      </c>
      <c r="M128" t="s">
        <v>18</v>
      </c>
      <c r="N128" t="s">
        <v>418</v>
      </c>
      <c r="O128"/>
      <c r="P128"/>
      <c r="Q128"/>
      <c r="R128"/>
      <c r="S128"/>
    </row>
    <row r="129" spans="1:19">
      <c r="A129" t="s">
        <v>419</v>
      </c>
      <c r="B129" s="17" t="s">
        <v>14</v>
      </c>
      <c r="C129" s="17" t="str">
        <f t="shared" si="1"/>
        <v>0X80</v>
      </c>
      <c r="D129" s="17">
        <v>128</v>
      </c>
      <c r="E129">
        <v>0</v>
      </c>
      <c r="F129">
        <v>1</v>
      </c>
      <c r="G129">
        <v>1</v>
      </c>
      <c r="H129">
        <v>1</v>
      </c>
      <c r="I129" s="17" t="s">
        <v>15</v>
      </c>
      <c r="J129" t="s">
        <v>385</v>
      </c>
      <c r="K129" t="s">
        <v>419</v>
      </c>
      <c r="L129" t="s">
        <v>420</v>
      </c>
      <c r="M129" t="s">
        <v>18</v>
      </c>
      <c r="N129" t="s">
        <v>421</v>
      </c>
      <c r="O129"/>
      <c r="P129"/>
      <c r="Q129"/>
      <c r="R129"/>
      <c r="S129"/>
    </row>
    <row r="130" spans="1:19">
      <c r="A130" t="s">
        <v>422</v>
      </c>
      <c r="B130" s="17" t="s">
        <v>14</v>
      </c>
      <c r="C130" s="17" t="str">
        <f t="shared" ref="C130:C175" si="2">CONCATENATE("0X",DEC2HEX(D130))</f>
        <v>0X81</v>
      </c>
      <c r="D130" s="17">
        <v>129</v>
      </c>
      <c r="E130">
        <v>0</v>
      </c>
      <c r="F130">
        <v>1</v>
      </c>
      <c r="G130">
        <v>1</v>
      </c>
      <c r="H130"/>
      <c r="I130" s="17" t="s">
        <v>15</v>
      </c>
      <c r="J130" t="s">
        <v>423</v>
      </c>
      <c r="K130" t="s">
        <v>422</v>
      </c>
      <c r="L130" t="s">
        <v>424</v>
      </c>
      <c r="M130" t="s">
        <v>425</v>
      </c>
      <c r="N130"/>
      <c r="O130"/>
      <c r="P130"/>
      <c r="Q130"/>
      <c r="R130"/>
      <c r="S130"/>
    </row>
    <row r="131" spans="1:19">
      <c r="A131" t="s">
        <v>426</v>
      </c>
      <c r="B131" s="17" t="s">
        <v>14</v>
      </c>
      <c r="C131" s="17" t="str">
        <f t="shared" si="2"/>
        <v>0X82</v>
      </c>
      <c r="D131" s="17">
        <v>130</v>
      </c>
      <c r="E131">
        <v>0</v>
      </c>
      <c r="F131">
        <v>1</v>
      </c>
      <c r="G131">
        <v>1</v>
      </c>
      <c r="H131"/>
      <c r="I131" s="17" t="s">
        <v>15</v>
      </c>
      <c r="J131" t="s">
        <v>423</v>
      </c>
      <c r="K131" t="s">
        <v>426</v>
      </c>
      <c r="L131" t="s">
        <v>427</v>
      </c>
      <c r="M131" t="s">
        <v>428</v>
      </c>
      <c r="N131"/>
      <c r="O131"/>
      <c r="P131"/>
      <c r="Q131"/>
      <c r="R131"/>
      <c r="S131"/>
    </row>
    <row r="132" spans="1:19">
      <c r="A132" t="s">
        <v>429</v>
      </c>
      <c r="B132" s="17" t="s">
        <v>14</v>
      </c>
      <c r="C132" s="17" t="str">
        <f t="shared" si="2"/>
        <v>0X83</v>
      </c>
      <c r="D132" s="17">
        <v>131</v>
      </c>
      <c r="E132">
        <v>0</v>
      </c>
      <c r="F132">
        <v>1</v>
      </c>
      <c r="G132">
        <v>1</v>
      </c>
      <c r="H132"/>
      <c r="I132" s="17" t="s">
        <v>15</v>
      </c>
      <c r="J132" t="s">
        <v>423</v>
      </c>
      <c r="K132" t="s">
        <v>429</v>
      </c>
      <c r="L132" t="s">
        <v>430</v>
      </c>
      <c r="M132" t="s">
        <v>431</v>
      </c>
      <c r="N132"/>
      <c r="O132"/>
      <c r="P132"/>
      <c r="Q132"/>
      <c r="R132"/>
      <c r="S132"/>
    </row>
    <row r="133" spans="1:19">
      <c r="A133" t="s">
        <v>432</v>
      </c>
      <c r="B133" s="17" t="s">
        <v>14</v>
      </c>
      <c r="C133" s="17" t="str">
        <f t="shared" si="2"/>
        <v>0X84</v>
      </c>
      <c r="D133" s="17">
        <v>132</v>
      </c>
      <c r="E133">
        <v>0</v>
      </c>
      <c r="F133">
        <v>1</v>
      </c>
      <c r="G133">
        <v>1</v>
      </c>
      <c r="H133"/>
      <c r="I133" s="17" t="s">
        <v>15</v>
      </c>
      <c r="J133" t="s">
        <v>423</v>
      </c>
      <c r="K133" t="s">
        <v>432</v>
      </c>
      <c r="L133" t="s">
        <v>433</v>
      </c>
      <c r="M133" t="s">
        <v>434</v>
      </c>
      <c r="N133"/>
      <c r="O133"/>
      <c r="P133"/>
      <c r="Q133"/>
      <c r="R133"/>
      <c r="S133"/>
    </row>
    <row r="134" spans="1:19">
      <c r="A134" t="s">
        <v>435</v>
      </c>
      <c r="B134" s="17" t="s">
        <v>14</v>
      </c>
      <c r="C134" s="17" t="str">
        <f t="shared" si="2"/>
        <v>0X85</v>
      </c>
      <c r="D134" s="17">
        <v>133</v>
      </c>
      <c r="E134">
        <v>1</v>
      </c>
      <c r="F134">
        <v>0</v>
      </c>
      <c r="G134">
        <v>1</v>
      </c>
      <c r="H134"/>
      <c r="I134" s="17" t="s">
        <v>15</v>
      </c>
      <c r="J134" t="s">
        <v>423</v>
      </c>
      <c r="K134" t="s">
        <v>435</v>
      </c>
      <c r="L134" t="s">
        <v>436</v>
      </c>
      <c r="M134" t="s">
        <v>437</v>
      </c>
      <c r="N134"/>
      <c r="O134"/>
      <c r="P134"/>
      <c r="Q134"/>
      <c r="R134"/>
      <c r="S134"/>
    </row>
    <row r="135" spans="1:19">
      <c r="A135" t="s">
        <v>438</v>
      </c>
      <c r="B135" s="17" t="s">
        <v>14</v>
      </c>
      <c r="C135" s="17" t="str">
        <f t="shared" si="2"/>
        <v>0X86</v>
      </c>
      <c r="D135" s="17">
        <v>134</v>
      </c>
      <c r="E135">
        <v>0</v>
      </c>
      <c r="F135">
        <v>1</v>
      </c>
      <c r="G135">
        <v>1</v>
      </c>
      <c r="H135"/>
      <c r="I135" s="17" t="s">
        <v>15</v>
      </c>
      <c r="J135" t="s">
        <v>423</v>
      </c>
      <c r="K135" t="s">
        <v>438</v>
      </c>
      <c r="L135" t="s">
        <v>439</v>
      </c>
      <c r="M135" t="s">
        <v>440</v>
      </c>
      <c r="N135"/>
      <c r="O135"/>
      <c r="P135"/>
      <c r="Q135"/>
      <c r="R135"/>
      <c r="S135"/>
    </row>
    <row r="136" spans="1:14">
      <c r="A136" s="17" t="s">
        <v>441</v>
      </c>
      <c r="B136" s="17" t="s">
        <v>14</v>
      </c>
      <c r="C136" s="17" t="str">
        <f t="shared" si="2"/>
        <v>0X87</v>
      </c>
      <c r="D136" s="17">
        <v>135</v>
      </c>
      <c r="E136" s="17">
        <v>0</v>
      </c>
      <c r="F136" s="17">
        <v>1</v>
      </c>
      <c r="G136" s="17">
        <v>1</v>
      </c>
      <c r="H136" s="17">
        <v>1</v>
      </c>
      <c r="I136" s="17" t="s">
        <v>15</v>
      </c>
      <c r="J136" s="17" t="s">
        <v>442</v>
      </c>
      <c r="K136" s="17" t="s">
        <v>441</v>
      </c>
      <c r="L136" s="17" t="s">
        <v>443</v>
      </c>
      <c r="M136" s="17" t="s">
        <v>444</v>
      </c>
      <c r="N136" s="17" t="s">
        <v>445</v>
      </c>
    </row>
    <row r="137" spans="1:14">
      <c r="A137" s="17" t="s">
        <v>446</v>
      </c>
      <c r="B137" s="17" t="s">
        <v>14</v>
      </c>
      <c r="C137" s="17" t="str">
        <f t="shared" si="2"/>
        <v>0X88</v>
      </c>
      <c r="D137" s="17">
        <v>136</v>
      </c>
      <c r="E137" s="17">
        <v>0</v>
      </c>
      <c r="F137" s="17">
        <v>1</v>
      </c>
      <c r="G137" s="17">
        <v>1</v>
      </c>
      <c r="H137" s="17">
        <v>16</v>
      </c>
      <c r="I137" s="17" t="s">
        <v>15</v>
      </c>
      <c r="J137" s="17" t="s">
        <v>442</v>
      </c>
      <c r="K137" s="17" t="s">
        <v>446</v>
      </c>
      <c r="L137" s="17" t="s">
        <v>447</v>
      </c>
      <c r="M137" s="17" t="s">
        <v>448</v>
      </c>
      <c r="N137" s="17" t="s">
        <v>449</v>
      </c>
    </row>
    <row r="138" spans="1:14">
      <c r="A138" s="17" t="s">
        <v>450</v>
      </c>
      <c r="B138" s="17" t="s">
        <v>14</v>
      </c>
      <c r="C138" s="17" t="str">
        <f t="shared" si="2"/>
        <v>0X89</v>
      </c>
      <c r="D138" s="17">
        <v>137</v>
      </c>
      <c r="E138" s="17">
        <v>0</v>
      </c>
      <c r="F138" s="17">
        <v>1</v>
      </c>
      <c r="G138" s="17">
        <v>1</v>
      </c>
      <c r="H138" s="17">
        <v>10</v>
      </c>
      <c r="I138" s="17" t="s">
        <v>15</v>
      </c>
      <c r="J138" s="17" t="s">
        <v>442</v>
      </c>
      <c r="K138" s="17" t="s">
        <v>450</v>
      </c>
      <c r="L138" s="17" t="s">
        <v>451</v>
      </c>
      <c r="M138" s="17" t="s">
        <v>452</v>
      </c>
      <c r="N138" s="17" t="s">
        <v>453</v>
      </c>
    </row>
    <row r="139" spans="1:14">
      <c r="A139" s="17" t="s">
        <v>454</v>
      </c>
      <c r="B139" s="17" t="s">
        <v>14</v>
      </c>
      <c r="C139" s="17" t="str">
        <f t="shared" si="2"/>
        <v>0X8A</v>
      </c>
      <c r="D139" s="17">
        <v>138</v>
      </c>
      <c r="E139" s="17">
        <v>0</v>
      </c>
      <c r="F139" s="17">
        <v>1</v>
      </c>
      <c r="G139" s="17">
        <v>1</v>
      </c>
      <c r="H139" s="17">
        <v>1</v>
      </c>
      <c r="I139" s="17" t="s">
        <v>15</v>
      </c>
      <c r="J139" s="17" t="s">
        <v>442</v>
      </c>
      <c r="K139" s="17" t="s">
        <v>454</v>
      </c>
      <c r="L139" s="17" t="s">
        <v>455</v>
      </c>
      <c r="M139" s="17" t="s">
        <v>18</v>
      </c>
      <c r="N139" s="19" t="s">
        <v>456</v>
      </c>
    </row>
    <row r="140" spans="1:14">
      <c r="A140" s="17" t="s">
        <v>457</v>
      </c>
      <c r="B140" s="17" t="s">
        <v>14</v>
      </c>
      <c r="C140" s="17" t="str">
        <f t="shared" si="2"/>
        <v>0X8B</v>
      </c>
      <c r="D140" s="17">
        <v>139</v>
      </c>
      <c r="E140" s="17">
        <v>0</v>
      </c>
      <c r="F140" s="17">
        <v>1</v>
      </c>
      <c r="G140" s="17">
        <v>1</v>
      </c>
      <c r="H140" s="17">
        <v>1</v>
      </c>
      <c r="I140" s="17" t="s">
        <v>15</v>
      </c>
      <c r="J140" s="17" t="s">
        <v>442</v>
      </c>
      <c r="K140" s="17" t="s">
        <v>457</v>
      </c>
      <c r="L140" s="17" t="s">
        <v>458</v>
      </c>
      <c r="M140" s="17" t="s">
        <v>18</v>
      </c>
      <c r="N140" s="17" t="s">
        <v>459</v>
      </c>
    </row>
    <row r="141" spans="1:14">
      <c r="A141" s="17" t="s">
        <v>460</v>
      </c>
      <c r="B141" s="17" t="s">
        <v>14</v>
      </c>
      <c r="C141" s="17" t="str">
        <f t="shared" si="2"/>
        <v>0X8C</v>
      </c>
      <c r="D141" s="17">
        <v>140</v>
      </c>
      <c r="E141" s="17">
        <v>0</v>
      </c>
      <c r="F141" s="17">
        <v>1</v>
      </c>
      <c r="G141" s="17">
        <v>1</v>
      </c>
      <c r="H141" s="17">
        <v>1</v>
      </c>
      <c r="I141" s="17" t="s">
        <v>15</v>
      </c>
      <c r="J141" s="17" t="s">
        <v>442</v>
      </c>
      <c r="K141" s="17" t="s">
        <v>460</v>
      </c>
      <c r="L141" t="s">
        <v>389</v>
      </c>
      <c r="M141" s="19" t="s">
        <v>461</v>
      </c>
      <c r="N141" s="19" t="s">
        <v>462</v>
      </c>
    </row>
    <row r="142" ht="15" customHeight="1" spans="1:14">
      <c r="A142" s="17" t="s">
        <v>463</v>
      </c>
      <c r="B142" s="17" t="s">
        <v>14</v>
      </c>
      <c r="C142" s="17" t="str">
        <f t="shared" si="2"/>
        <v>0X8D</v>
      </c>
      <c r="D142" s="17">
        <v>141</v>
      </c>
      <c r="E142" s="17">
        <v>0</v>
      </c>
      <c r="F142" s="17">
        <v>1</v>
      </c>
      <c r="G142" s="17">
        <v>1</v>
      </c>
      <c r="H142" s="17">
        <v>8</v>
      </c>
      <c r="I142" s="17" t="s">
        <v>15</v>
      </c>
      <c r="J142" s="17" t="s">
        <v>442</v>
      </c>
      <c r="K142" s="17" t="s">
        <v>463</v>
      </c>
      <c r="L142" s="17" t="s">
        <v>464</v>
      </c>
      <c r="M142" s="17" t="s">
        <v>465</v>
      </c>
      <c r="N142" s="19" t="s">
        <v>466</v>
      </c>
    </row>
    <row r="143" spans="1:14">
      <c r="A143" s="17" t="s">
        <v>467</v>
      </c>
      <c r="B143" s="17" t="s">
        <v>14</v>
      </c>
      <c r="C143" s="17" t="str">
        <f t="shared" si="2"/>
        <v>0X8E</v>
      </c>
      <c r="D143" s="17">
        <v>142</v>
      </c>
      <c r="E143" s="17">
        <v>0</v>
      </c>
      <c r="F143" s="17">
        <v>1</v>
      </c>
      <c r="G143" s="17">
        <v>1</v>
      </c>
      <c r="H143" s="17">
        <v>8</v>
      </c>
      <c r="I143" s="17" t="s">
        <v>15</v>
      </c>
      <c r="J143" s="17" t="s">
        <v>468</v>
      </c>
      <c r="K143" s="17" t="s">
        <v>467</v>
      </c>
      <c r="L143" s="17" t="s">
        <v>469</v>
      </c>
      <c r="M143" s="17" t="s">
        <v>470</v>
      </c>
      <c r="N143" s="19" t="s">
        <v>471</v>
      </c>
    </row>
    <row r="144" spans="1:18">
      <c r="A144" s="22" t="s">
        <v>472</v>
      </c>
      <c r="B144" s="17" t="s">
        <v>14</v>
      </c>
      <c r="C144" s="17" t="str">
        <f t="shared" si="2"/>
        <v>0X8F</v>
      </c>
      <c r="D144" s="17">
        <v>143</v>
      </c>
      <c r="E144" s="16">
        <v>0</v>
      </c>
      <c r="F144" s="16">
        <v>1</v>
      </c>
      <c r="G144" s="16">
        <v>1</v>
      </c>
      <c r="H144" s="23">
        <v>1</v>
      </c>
      <c r="I144" s="17" t="s">
        <v>15</v>
      </c>
      <c r="J144" s="23" t="s">
        <v>473</v>
      </c>
      <c r="K144" s="22" t="s">
        <v>472</v>
      </c>
      <c r="L144" s="23" t="s">
        <v>474</v>
      </c>
      <c r="M144" s="23" t="s">
        <v>18</v>
      </c>
      <c r="N144" s="23" t="s">
        <v>475</v>
      </c>
      <c r="P144" s="23"/>
      <c r="Q144" s="23"/>
      <c r="R144" s="23"/>
    </row>
    <row r="145" spans="1:18">
      <c r="A145" s="22" t="s">
        <v>476</v>
      </c>
      <c r="B145" s="17" t="s">
        <v>14</v>
      </c>
      <c r="C145" s="17" t="str">
        <f t="shared" si="2"/>
        <v>0X90</v>
      </c>
      <c r="D145" s="17">
        <v>144</v>
      </c>
      <c r="E145" s="16">
        <v>0</v>
      </c>
      <c r="F145" s="16">
        <v>1</v>
      </c>
      <c r="G145" s="16">
        <v>1</v>
      </c>
      <c r="H145" s="23">
        <v>1</v>
      </c>
      <c r="I145" s="17" t="s">
        <v>15</v>
      </c>
      <c r="J145" s="23" t="s">
        <v>473</v>
      </c>
      <c r="K145" s="22" t="s">
        <v>476</v>
      </c>
      <c r="L145" s="23" t="s">
        <v>477</v>
      </c>
      <c r="M145" s="23" t="s">
        <v>478</v>
      </c>
      <c r="N145" s="23" t="s">
        <v>479</v>
      </c>
      <c r="P145" s="23"/>
      <c r="Q145" s="23"/>
      <c r="R145" s="23"/>
    </row>
    <row r="146" spans="1:18">
      <c r="A146" s="22" t="s">
        <v>480</v>
      </c>
      <c r="B146" s="17" t="s">
        <v>14</v>
      </c>
      <c r="C146" s="17" t="str">
        <f t="shared" si="2"/>
        <v>0X91</v>
      </c>
      <c r="D146" s="17">
        <v>145</v>
      </c>
      <c r="E146" s="16">
        <v>0</v>
      </c>
      <c r="F146" s="16">
        <v>1</v>
      </c>
      <c r="G146" s="16">
        <v>1</v>
      </c>
      <c r="H146" s="23">
        <v>10</v>
      </c>
      <c r="I146" s="17" t="s">
        <v>15</v>
      </c>
      <c r="J146" s="23" t="s">
        <v>473</v>
      </c>
      <c r="K146" s="22" t="s">
        <v>480</v>
      </c>
      <c r="L146" s="23" t="s">
        <v>481</v>
      </c>
      <c r="M146" s="23" t="s">
        <v>482</v>
      </c>
      <c r="N146" s="23" t="s">
        <v>483</v>
      </c>
      <c r="P146" s="23"/>
      <c r="Q146" s="23"/>
      <c r="R146" s="23"/>
    </row>
    <row r="147" spans="1:18">
      <c r="A147" s="22" t="s">
        <v>484</v>
      </c>
      <c r="B147" s="17" t="s">
        <v>14</v>
      </c>
      <c r="C147" s="17" t="str">
        <f t="shared" si="2"/>
        <v>0X92</v>
      </c>
      <c r="D147" s="17">
        <v>146</v>
      </c>
      <c r="E147" s="16">
        <v>0</v>
      </c>
      <c r="F147" s="16">
        <v>1</v>
      </c>
      <c r="G147" s="16">
        <v>1</v>
      </c>
      <c r="H147" s="23">
        <v>16</v>
      </c>
      <c r="I147" s="17" t="s">
        <v>15</v>
      </c>
      <c r="J147" s="23" t="s">
        <v>473</v>
      </c>
      <c r="K147" s="22" t="s">
        <v>484</v>
      </c>
      <c r="L147" s="23" t="s">
        <v>485</v>
      </c>
      <c r="M147" s="23" t="s">
        <v>486</v>
      </c>
      <c r="N147" s="23" t="s">
        <v>487</v>
      </c>
      <c r="P147" s="23"/>
      <c r="Q147" s="23"/>
      <c r="R147" s="23"/>
    </row>
    <row r="148" spans="1:18">
      <c r="A148" s="23" t="s">
        <v>488</v>
      </c>
      <c r="B148" s="17" t="s">
        <v>14</v>
      </c>
      <c r="C148" s="17" t="str">
        <f t="shared" si="2"/>
        <v>0X93</v>
      </c>
      <c r="D148" s="17">
        <v>147</v>
      </c>
      <c r="E148" s="16">
        <v>0</v>
      </c>
      <c r="F148" s="16">
        <v>1</v>
      </c>
      <c r="G148" s="16">
        <v>1</v>
      </c>
      <c r="H148" s="23">
        <v>1</v>
      </c>
      <c r="I148" s="17" t="s">
        <v>15</v>
      </c>
      <c r="J148" s="23" t="s">
        <v>473</v>
      </c>
      <c r="K148" s="23" t="s">
        <v>488</v>
      </c>
      <c r="L148" s="23" t="s">
        <v>489</v>
      </c>
      <c r="M148" s="23" t="s">
        <v>490</v>
      </c>
      <c r="N148" s="23" t="s">
        <v>491</v>
      </c>
      <c r="P148" s="23"/>
      <c r="Q148" s="23"/>
      <c r="R148" s="23"/>
    </row>
    <row r="149" spans="1:14">
      <c r="A149" s="17" t="s">
        <v>492</v>
      </c>
      <c r="B149" s="17" t="s">
        <v>14</v>
      </c>
      <c r="C149" s="17" t="str">
        <f t="shared" si="2"/>
        <v>0XE5</v>
      </c>
      <c r="D149" s="17">
        <v>229</v>
      </c>
      <c r="E149" s="17">
        <v>0</v>
      </c>
      <c r="F149" s="17">
        <v>1</v>
      </c>
      <c r="G149" s="17">
        <v>0</v>
      </c>
      <c r="H149" s="17">
        <v>8</v>
      </c>
      <c r="I149" s="17" t="s">
        <v>15</v>
      </c>
      <c r="J149" s="17" t="s">
        <v>493</v>
      </c>
      <c r="K149" s="17" t="s">
        <v>492</v>
      </c>
      <c r="L149" s="17" t="s">
        <v>494</v>
      </c>
      <c r="M149" s="17" t="s">
        <v>495</v>
      </c>
      <c r="N149" s="17" t="s">
        <v>496</v>
      </c>
    </row>
    <row r="150" spans="1:14">
      <c r="A150" s="17" t="s">
        <v>497</v>
      </c>
      <c r="B150" s="17" t="s">
        <v>14</v>
      </c>
      <c r="C150" s="17" t="str">
        <f t="shared" si="2"/>
        <v>0XE6</v>
      </c>
      <c r="D150" s="17">
        <v>230</v>
      </c>
      <c r="E150" s="17">
        <v>1</v>
      </c>
      <c r="F150" s="17">
        <v>0</v>
      </c>
      <c r="G150" s="17">
        <v>0</v>
      </c>
      <c r="H150" s="17">
        <v>16</v>
      </c>
      <c r="I150" s="17" t="s">
        <v>15</v>
      </c>
      <c r="J150" s="17" t="s">
        <v>493</v>
      </c>
      <c r="K150" s="17" t="s">
        <v>497</v>
      </c>
      <c r="L150" s="17" t="s">
        <v>498</v>
      </c>
      <c r="M150" s="17" t="s">
        <v>495</v>
      </c>
      <c r="N150" s="17" t="s">
        <v>496</v>
      </c>
    </row>
    <row r="151" spans="1:14">
      <c r="A151" s="17" t="s">
        <v>499</v>
      </c>
      <c r="B151" s="17" t="s">
        <v>14</v>
      </c>
      <c r="C151" s="17" t="str">
        <f t="shared" si="2"/>
        <v>0XE7</v>
      </c>
      <c r="D151" s="17">
        <v>231</v>
      </c>
      <c r="E151" s="17">
        <v>1</v>
      </c>
      <c r="F151" s="17">
        <v>0</v>
      </c>
      <c r="G151" s="17">
        <v>0</v>
      </c>
      <c r="H151" s="17">
        <v>16</v>
      </c>
      <c r="I151" s="17" t="s">
        <v>15</v>
      </c>
      <c r="J151" s="17" t="s">
        <v>500</v>
      </c>
      <c r="K151" s="17" t="s">
        <v>499</v>
      </c>
      <c r="L151" s="17" t="s">
        <v>501</v>
      </c>
      <c r="M151" s="17" t="s">
        <v>502</v>
      </c>
      <c r="N151" s="17" t="s">
        <v>503</v>
      </c>
    </row>
    <row r="152" spans="1:14">
      <c r="A152" s="17" t="s">
        <v>504</v>
      </c>
      <c r="B152" s="17" t="s">
        <v>14</v>
      </c>
      <c r="C152" s="17" t="str">
        <f t="shared" si="2"/>
        <v>0XE8</v>
      </c>
      <c r="D152" s="17">
        <v>232</v>
      </c>
      <c r="E152" s="17">
        <v>1</v>
      </c>
      <c r="F152" s="17">
        <v>0</v>
      </c>
      <c r="G152" s="17">
        <v>0</v>
      </c>
      <c r="H152" s="17">
        <v>16</v>
      </c>
      <c r="I152" s="17" t="s">
        <v>15</v>
      </c>
      <c r="J152" s="17" t="s">
        <v>500</v>
      </c>
      <c r="K152" s="17" t="s">
        <v>504</v>
      </c>
      <c r="L152" s="17" t="s">
        <v>505</v>
      </c>
      <c r="M152" s="17" t="s">
        <v>502</v>
      </c>
      <c r="N152" s="17" t="s">
        <v>503</v>
      </c>
    </row>
    <row r="153" spans="1:14">
      <c r="A153" s="17" t="s">
        <v>506</v>
      </c>
      <c r="B153" s="17" t="s">
        <v>14</v>
      </c>
      <c r="C153" s="17" t="str">
        <f t="shared" si="2"/>
        <v>0XE9</v>
      </c>
      <c r="D153" s="17">
        <v>233</v>
      </c>
      <c r="E153" s="17">
        <v>1</v>
      </c>
      <c r="F153" s="17">
        <v>0</v>
      </c>
      <c r="G153" s="17">
        <v>0</v>
      </c>
      <c r="H153" s="17">
        <v>16</v>
      </c>
      <c r="I153" s="17" t="s">
        <v>15</v>
      </c>
      <c r="J153" s="17" t="s">
        <v>500</v>
      </c>
      <c r="K153" s="17" t="s">
        <v>506</v>
      </c>
      <c r="L153" s="17" t="s">
        <v>507</v>
      </c>
      <c r="M153" s="17" t="s">
        <v>502</v>
      </c>
      <c r="N153" s="17" t="s">
        <v>503</v>
      </c>
    </row>
    <row r="154" spans="1:14">
      <c r="A154" s="17" t="s">
        <v>508</v>
      </c>
      <c r="B154" s="17" t="s">
        <v>14</v>
      </c>
      <c r="C154" s="17" t="str">
        <f t="shared" si="2"/>
        <v>0XEA</v>
      </c>
      <c r="D154" s="17">
        <v>234</v>
      </c>
      <c r="E154" s="17">
        <v>1</v>
      </c>
      <c r="F154" s="17">
        <v>0</v>
      </c>
      <c r="G154" s="17">
        <v>0</v>
      </c>
      <c r="H154" s="17">
        <v>16</v>
      </c>
      <c r="I154" s="17" t="s">
        <v>15</v>
      </c>
      <c r="J154" s="17" t="s">
        <v>500</v>
      </c>
      <c r="K154" s="17" t="s">
        <v>508</v>
      </c>
      <c r="L154" s="17" t="s">
        <v>509</v>
      </c>
      <c r="M154" s="17" t="s">
        <v>502</v>
      </c>
      <c r="N154" s="17" t="s">
        <v>503</v>
      </c>
    </row>
    <row r="155" spans="1:14">
      <c r="A155" s="17" t="s">
        <v>510</v>
      </c>
      <c r="B155" s="17" t="s">
        <v>14</v>
      </c>
      <c r="C155" s="17" t="str">
        <f t="shared" si="2"/>
        <v>0XEB</v>
      </c>
      <c r="D155" s="17">
        <v>235</v>
      </c>
      <c r="E155" s="17">
        <v>1</v>
      </c>
      <c r="F155" s="17">
        <v>0</v>
      </c>
      <c r="G155" s="17">
        <v>0</v>
      </c>
      <c r="H155" s="17">
        <v>16</v>
      </c>
      <c r="I155" s="17" t="s">
        <v>15</v>
      </c>
      <c r="J155" s="17" t="s">
        <v>500</v>
      </c>
      <c r="K155" s="17" t="s">
        <v>510</v>
      </c>
      <c r="L155" s="17" t="s">
        <v>511</v>
      </c>
      <c r="M155" s="17" t="s">
        <v>502</v>
      </c>
      <c r="N155" s="17" t="s">
        <v>503</v>
      </c>
    </row>
    <row r="156" spans="1:14">
      <c r="A156" s="17" t="s">
        <v>512</v>
      </c>
      <c r="B156" s="17" t="s">
        <v>14</v>
      </c>
      <c r="C156" s="17" t="str">
        <f t="shared" si="2"/>
        <v>0XEC</v>
      </c>
      <c r="D156" s="17">
        <v>236</v>
      </c>
      <c r="E156" s="17">
        <v>1</v>
      </c>
      <c r="F156" s="17">
        <v>0</v>
      </c>
      <c r="G156" s="17">
        <v>0</v>
      </c>
      <c r="H156" s="17">
        <v>16</v>
      </c>
      <c r="I156" s="17" t="s">
        <v>15</v>
      </c>
      <c r="J156" s="17" t="s">
        <v>500</v>
      </c>
      <c r="K156" s="17" t="s">
        <v>512</v>
      </c>
      <c r="L156" s="17" t="s">
        <v>513</v>
      </c>
      <c r="M156" s="17" t="s">
        <v>502</v>
      </c>
      <c r="N156" s="17" t="s">
        <v>503</v>
      </c>
    </row>
    <row r="157" spans="1:14">
      <c r="A157" s="17" t="s">
        <v>514</v>
      </c>
      <c r="B157" s="17" t="s">
        <v>14</v>
      </c>
      <c r="C157" s="17" t="str">
        <f t="shared" si="2"/>
        <v>0XED</v>
      </c>
      <c r="D157" s="17">
        <v>237</v>
      </c>
      <c r="E157" s="17">
        <v>1</v>
      </c>
      <c r="F157" s="17">
        <v>0</v>
      </c>
      <c r="G157" s="17">
        <v>0</v>
      </c>
      <c r="H157" s="17">
        <v>16</v>
      </c>
      <c r="I157" s="17" t="s">
        <v>15</v>
      </c>
      <c r="J157" s="17" t="s">
        <v>500</v>
      </c>
      <c r="K157" s="17" t="s">
        <v>514</v>
      </c>
      <c r="L157" s="17" t="s">
        <v>515</v>
      </c>
      <c r="M157" s="17" t="s">
        <v>502</v>
      </c>
      <c r="N157" s="17" t="s">
        <v>503</v>
      </c>
    </row>
    <row r="158" spans="1:14">
      <c r="A158" s="17" t="s">
        <v>516</v>
      </c>
      <c r="B158" s="17" t="s">
        <v>14</v>
      </c>
      <c r="C158" s="17" t="str">
        <f t="shared" si="2"/>
        <v>0XEE</v>
      </c>
      <c r="D158" s="17">
        <v>238</v>
      </c>
      <c r="E158" s="17">
        <v>1</v>
      </c>
      <c r="F158" s="17">
        <v>0</v>
      </c>
      <c r="G158" s="17">
        <v>0</v>
      </c>
      <c r="H158" s="17">
        <v>16</v>
      </c>
      <c r="I158" s="17" t="s">
        <v>15</v>
      </c>
      <c r="J158" s="17" t="s">
        <v>500</v>
      </c>
      <c r="K158" s="17" t="s">
        <v>516</v>
      </c>
      <c r="L158" s="17" t="s">
        <v>517</v>
      </c>
      <c r="M158" s="17" t="s">
        <v>502</v>
      </c>
      <c r="N158" s="17" t="s">
        <v>503</v>
      </c>
    </row>
    <row r="159" spans="1:14">
      <c r="A159" s="17" t="s">
        <v>518</v>
      </c>
      <c r="B159" s="17" t="s">
        <v>14</v>
      </c>
      <c r="C159" s="17" t="str">
        <f t="shared" si="2"/>
        <v>0XEF</v>
      </c>
      <c r="D159" s="17">
        <v>239</v>
      </c>
      <c r="E159" s="17">
        <v>1</v>
      </c>
      <c r="F159" s="17">
        <v>0</v>
      </c>
      <c r="G159" s="17">
        <v>0</v>
      </c>
      <c r="H159" s="17">
        <v>16</v>
      </c>
      <c r="I159" s="17" t="s">
        <v>15</v>
      </c>
      <c r="J159" s="17" t="s">
        <v>500</v>
      </c>
      <c r="K159" s="17" t="s">
        <v>518</v>
      </c>
      <c r="L159" s="17" t="s">
        <v>519</v>
      </c>
      <c r="M159" s="17" t="s">
        <v>502</v>
      </c>
      <c r="N159" s="17" t="s">
        <v>503</v>
      </c>
    </row>
    <row r="160" spans="1:14">
      <c r="A160" s="17" t="s">
        <v>520</v>
      </c>
      <c r="B160" s="17" t="s">
        <v>14</v>
      </c>
      <c r="C160" s="17" t="str">
        <f t="shared" si="2"/>
        <v>0XF0</v>
      </c>
      <c r="D160" s="17">
        <v>240</v>
      </c>
      <c r="E160" s="17">
        <v>1</v>
      </c>
      <c r="F160" s="17">
        <v>0</v>
      </c>
      <c r="G160" s="17">
        <v>0</v>
      </c>
      <c r="H160" s="17">
        <v>16</v>
      </c>
      <c r="I160" s="17" t="s">
        <v>15</v>
      </c>
      <c r="J160" s="17" t="s">
        <v>500</v>
      </c>
      <c r="K160" s="17" t="s">
        <v>520</v>
      </c>
      <c r="L160" s="17" t="s">
        <v>521</v>
      </c>
      <c r="M160" s="17" t="s">
        <v>502</v>
      </c>
      <c r="N160" s="17" t="s">
        <v>503</v>
      </c>
    </row>
    <row r="161" spans="1:14">
      <c r="A161" s="17" t="s">
        <v>522</v>
      </c>
      <c r="B161" s="17" t="s">
        <v>14</v>
      </c>
      <c r="C161" s="17" t="str">
        <f t="shared" si="2"/>
        <v>0XF1</v>
      </c>
      <c r="D161" s="17">
        <v>241</v>
      </c>
      <c r="E161" s="17">
        <v>1</v>
      </c>
      <c r="F161" s="17">
        <v>0</v>
      </c>
      <c r="G161" s="17">
        <v>0</v>
      </c>
      <c r="H161" s="17">
        <v>16</v>
      </c>
      <c r="I161" s="17" t="s">
        <v>15</v>
      </c>
      <c r="J161" s="17" t="s">
        <v>500</v>
      </c>
      <c r="K161" s="17" t="s">
        <v>522</v>
      </c>
      <c r="L161" s="17" t="s">
        <v>523</v>
      </c>
      <c r="M161" s="17" t="s">
        <v>502</v>
      </c>
      <c r="N161" s="17" t="s">
        <v>503</v>
      </c>
    </row>
    <row r="162" spans="1:14">
      <c r="A162" s="17" t="s">
        <v>524</v>
      </c>
      <c r="B162" s="17" t="s">
        <v>14</v>
      </c>
      <c r="C162" s="17" t="str">
        <f t="shared" si="2"/>
        <v>0XF2</v>
      </c>
      <c r="D162" s="17">
        <v>242</v>
      </c>
      <c r="E162" s="17">
        <v>1</v>
      </c>
      <c r="F162" s="17">
        <v>0</v>
      </c>
      <c r="G162" s="17">
        <v>0</v>
      </c>
      <c r="H162" s="17">
        <v>16</v>
      </c>
      <c r="I162" s="17" t="s">
        <v>15</v>
      </c>
      <c r="J162" s="17" t="s">
        <v>500</v>
      </c>
      <c r="K162" s="17" t="s">
        <v>524</v>
      </c>
      <c r="L162" s="17" t="s">
        <v>525</v>
      </c>
      <c r="M162" s="17" t="s">
        <v>502</v>
      </c>
      <c r="N162" s="17" t="s">
        <v>503</v>
      </c>
    </row>
    <row r="163" spans="1:14">
      <c r="A163" s="17" t="s">
        <v>526</v>
      </c>
      <c r="B163" s="17" t="s">
        <v>14</v>
      </c>
      <c r="C163" s="17" t="str">
        <f t="shared" si="2"/>
        <v>0XF3</v>
      </c>
      <c r="D163" s="17">
        <v>243</v>
      </c>
      <c r="E163" s="17">
        <v>1</v>
      </c>
      <c r="F163" s="17">
        <v>0</v>
      </c>
      <c r="G163" s="17">
        <v>0</v>
      </c>
      <c r="H163" s="17">
        <v>16</v>
      </c>
      <c r="I163" s="17" t="s">
        <v>15</v>
      </c>
      <c r="J163" s="17" t="s">
        <v>500</v>
      </c>
      <c r="K163" s="17" t="s">
        <v>526</v>
      </c>
      <c r="L163" s="17" t="s">
        <v>527</v>
      </c>
      <c r="M163" s="17" t="s">
        <v>502</v>
      </c>
      <c r="N163" s="17" t="s">
        <v>503</v>
      </c>
    </row>
    <row r="164" spans="1:14">
      <c r="A164" s="17" t="s">
        <v>528</v>
      </c>
      <c r="B164" s="17" t="s">
        <v>14</v>
      </c>
      <c r="C164" s="17" t="str">
        <f t="shared" si="2"/>
        <v>0XF4</v>
      </c>
      <c r="D164" s="17">
        <v>244</v>
      </c>
      <c r="E164" s="17">
        <v>1</v>
      </c>
      <c r="F164" s="17">
        <v>0</v>
      </c>
      <c r="G164" s="17">
        <v>0</v>
      </c>
      <c r="H164" s="17">
        <v>16</v>
      </c>
      <c r="I164" s="17" t="s">
        <v>15</v>
      </c>
      <c r="J164" s="17" t="s">
        <v>500</v>
      </c>
      <c r="K164" s="17" t="s">
        <v>528</v>
      </c>
      <c r="L164" s="17" t="s">
        <v>529</v>
      </c>
      <c r="M164" s="17" t="s">
        <v>502</v>
      </c>
      <c r="N164" s="17" t="s">
        <v>503</v>
      </c>
    </row>
    <row r="165" spans="1:14">
      <c r="A165" s="17" t="s">
        <v>530</v>
      </c>
      <c r="B165" s="17" t="s">
        <v>14</v>
      </c>
      <c r="C165" s="17" t="str">
        <f t="shared" si="2"/>
        <v>0XF5</v>
      </c>
      <c r="D165" s="17">
        <v>245</v>
      </c>
      <c r="E165" s="17">
        <v>1</v>
      </c>
      <c r="F165" s="17">
        <v>0</v>
      </c>
      <c r="G165" s="17">
        <v>0</v>
      </c>
      <c r="H165" s="17">
        <v>16</v>
      </c>
      <c r="I165" s="17" t="s">
        <v>15</v>
      </c>
      <c r="J165" s="17" t="s">
        <v>500</v>
      </c>
      <c r="K165" s="17" t="s">
        <v>530</v>
      </c>
      <c r="L165" s="17" t="s">
        <v>531</v>
      </c>
      <c r="M165" s="17" t="s">
        <v>502</v>
      </c>
      <c r="N165" s="17" t="s">
        <v>503</v>
      </c>
    </row>
    <row r="166" spans="1:14">
      <c r="A166" s="17" t="s">
        <v>532</v>
      </c>
      <c r="B166" s="17" t="s">
        <v>14</v>
      </c>
      <c r="C166" s="17" t="str">
        <f t="shared" si="2"/>
        <v>0XF6</v>
      </c>
      <c r="D166" s="17">
        <v>246</v>
      </c>
      <c r="E166" s="17">
        <v>1</v>
      </c>
      <c r="F166" s="17">
        <v>0</v>
      </c>
      <c r="G166" s="17">
        <v>0</v>
      </c>
      <c r="H166" s="17">
        <v>16</v>
      </c>
      <c r="I166" s="17" t="s">
        <v>15</v>
      </c>
      <c r="J166" s="17" t="s">
        <v>500</v>
      </c>
      <c r="K166" s="17" t="s">
        <v>532</v>
      </c>
      <c r="L166" s="17" t="s">
        <v>533</v>
      </c>
      <c r="M166" s="17" t="s">
        <v>502</v>
      </c>
      <c r="N166" s="17" t="s">
        <v>503</v>
      </c>
    </row>
    <row r="167" spans="1:14">
      <c r="A167" s="17" t="s">
        <v>534</v>
      </c>
      <c r="B167" s="17" t="s">
        <v>14</v>
      </c>
      <c r="C167" s="17" t="str">
        <f t="shared" si="2"/>
        <v>0XF7</v>
      </c>
      <c r="D167" s="17">
        <v>247</v>
      </c>
      <c r="E167" s="17">
        <v>1</v>
      </c>
      <c r="F167" s="17">
        <v>0</v>
      </c>
      <c r="G167" s="17">
        <v>0</v>
      </c>
      <c r="H167" s="17">
        <v>16</v>
      </c>
      <c r="I167" s="17" t="s">
        <v>15</v>
      </c>
      <c r="J167" s="17" t="s">
        <v>500</v>
      </c>
      <c r="K167" s="17" t="s">
        <v>534</v>
      </c>
      <c r="L167" s="17" t="s">
        <v>535</v>
      </c>
      <c r="M167" s="17" t="s">
        <v>536</v>
      </c>
      <c r="N167" s="17" t="s">
        <v>537</v>
      </c>
    </row>
    <row r="168" spans="1:14">
      <c r="A168" s="17" t="s">
        <v>538</v>
      </c>
      <c r="B168" s="17" t="s">
        <v>14</v>
      </c>
      <c r="C168" s="17" t="str">
        <f t="shared" si="2"/>
        <v>0XF8</v>
      </c>
      <c r="D168" s="17">
        <v>248</v>
      </c>
      <c r="E168" s="17">
        <v>1</v>
      </c>
      <c r="F168" s="17">
        <v>0</v>
      </c>
      <c r="G168" s="17">
        <v>0</v>
      </c>
      <c r="H168" s="17">
        <v>16</v>
      </c>
      <c r="I168" s="17" t="s">
        <v>15</v>
      </c>
      <c r="J168" s="17" t="s">
        <v>500</v>
      </c>
      <c r="K168" s="17" t="s">
        <v>538</v>
      </c>
      <c r="L168" s="17" t="s">
        <v>539</v>
      </c>
      <c r="M168" s="17" t="s">
        <v>536</v>
      </c>
      <c r="N168" s="17" t="s">
        <v>537</v>
      </c>
    </row>
    <row r="169" spans="1:14">
      <c r="A169" s="17" t="s">
        <v>540</v>
      </c>
      <c r="B169" s="17" t="s">
        <v>14</v>
      </c>
      <c r="C169" s="17" t="str">
        <f t="shared" si="2"/>
        <v>0XF9</v>
      </c>
      <c r="D169" s="17">
        <v>249</v>
      </c>
      <c r="E169" s="17">
        <v>1</v>
      </c>
      <c r="F169" s="17">
        <v>0</v>
      </c>
      <c r="G169" s="17">
        <v>0</v>
      </c>
      <c r="H169" s="17">
        <v>16</v>
      </c>
      <c r="I169" s="17" t="s">
        <v>15</v>
      </c>
      <c r="J169" s="17" t="s">
        <v>500</v>
      </c>
      <c r="K169" s="17" t="s">
        <v>540</v>
      </c>
      <c r="L169" s="17" t="s">
        <v>541</v>
      </c>
      <c r="M169" s="17" t="s">
        <v>536</v>
      </c>
      <c r="N169" s="17" t="s">
        <v>537</v>
      </c>
    </row>
    <row r="170" spans="1:14">
      <c r="A170" s="17" t="s">
        <v>542</v>
      </c>
      <c r="B170" s="17" t="s">
        <v>14</v>
      </c>
      <c r="C170" s="17" t="str">
        <f t="shared" si="2"/>
        <v>0XFA</v>
      </c>
      <c r="D170" s="17">
        <v>250</v>
      </c>
      <c r="E170" s="17">
        <v>1</v>
      </c>
      <c r="F170" s="17">
        <v>0</v>
      </c>
      <c r="G170" s="17">
        <v>0</v>
      </c>
      <c r="H170" s="17">
        <v>16</v>
      </c>
      <c r="I170" s="17" t="s">
        <v>15</v>
      </c>
      <c r="J170" s="17" t="s">
        <v>500</v>
      </c>
      <c r="K170" s="17" t="s">
        <v>542</v>
      </c>
      <c r="L170" s="17" t="s">
        <v>543</v>
      </c>
      <c r="M170" s="17" t="s">
        <v>536</v>
      </c>
      <c r="N170" s="17" t="s">
        <v>537</v>
      </c>
    </row>
    <row r="171" spans="1:14">
      <c r="A171" s="17" t="s">
        <v>544</v>
      </c>
      <c r="B171" s="17" t="s">
        <v>14</v>
      </c>
      <c r="C171" s="17" t="str">
        <f t="shared" si="2"/>
        <v>0XFB</v>
      </c>
      <c r="D171" s="17">
        <v>251</v>
      </c>
      <c r="E171" s="17">
        <v>1</v>
      </c>
      <c r="F171" s="17">
        <v>0</v>
      </c>
      <c r="G171" s="17">
        <v>0</v>
      </c>
      <c r="H171" s="17">
        <v>16</v>
      </c>
      <c r="I171" s="17" t="s">
        <v>15</v>
      </c>
      <c r="J171" s="17" t="s">
        <v>500</v>
      </c>
      <c r="K171" s="17" t="s">
        <v>544</v>
      </c>
      <c r="L171" s="17" t="s">
        <v>545</v>
      </c>
      <c r="M171" s="17" t="s">
        <v>546</v>
      </c>
      <c r="N171" s="17" t="s">
        <v>547</v>
      </c>
    </row>
    <row r="172" spans="1:14">
      <c r="A172" s="17" t="s">
        <v>548</v>
      </c>
      <c r="B172" s="17" t="s">
        <v>14</v>
      </c>
      <c r="C172" s="17" t="str">
        <f t="shared" si="2"/>
        <v>0XFC</v>
      </c>
      <c r="D172" s="17">
        <v>252</v>
      </c>
      <c r="E172" s="17">
        <v>1</v>
      </c>
      <c r="F172" s="17">
        <v>0</v>
      </c>
      <c r="G172" s="17">
        <v>0</v>
      </c>
      <c r="H172" s="17">
        <v>16</v>
      </c>
      <c r="I172" s="17" t="s">
        <v>15</v>
      </c>
      <c r="J172" s="17" t="s">
        <v>500</v>
      </c>
      <c r="K172" s="17" t="s">
        <v>548</v>
      </c>
      <c r="L172" s="17" t="s">
        <v>549</v>
      </c>
      <c r="M172" s="17" t="s">
        <v>550</v>
      </c>
      <c r="N172" s="17" t="s">
        <v>547</v>
      </c>
    </row>
    <row r="173" spans="1:14">
      <c r="A173" s="17" t="s">
        <v>551</v>
      </c>
      <c r="B173" s="17" t="s">
        <v>14</v>
      </c>
      <c r="C173" s="17" t="str">
        <f t="shared" si="2"/>
        <v>0XFD</v>
      </c>
      <c r="D173" s="17">
        <v>253</v>
      </c>
      <c r="E173" s="17">
        <v>1</v>
      </c>
      <c r="F173" s="17">
        <v>0</v>
      </c>
      <c r="G173" s="17">
        <v>0</v>
      </c>
      <c r="H173" s="17">
        <v>16</v>
      </c>
      <c r="I173" s="17" t="s">
        <v>15</v>
      </c>
      <c r="J173" s="17" t="s">
        <v>500</v>
      </c>
      <c r="K173" s="17" t="s">
        <v>551</v>
      </c>
      <c r="L173" s="17" t="s">
        <v>552</v>
      </c>
      <c r="M173" s="17" t="s">
        <v>546</v>
      </c>
      <c r="N173" s="17" t="s">
        <v>553</v>
      </c>
    </row>
    <row r="174" spans="1:14">
      <c r="A174" s="17" t="s">
        <v>554</v>
      </c>
      <c r="B174" s="17" t="s">
        <v>14</v>
      </c>
      <c r="C174" s="17" t="str">
        <f t="shared" si="2"/>
        <v>0XFE</v>
      </c>
      <c r="D174" s="17">
        <v>254</v>
      </c>
      <c r="E174" s="17">
        <v>1</v>
      </c>
      <c r="F174" s="17">
        <v>0</v>
      </c>
      <c r="G174" s="17">
        <v>0</v>
      </c>
      <c r="H174" s="17">
        <v>16</v>
      </c>
      <c r="I174" s="17" t="s">
        <v>15</v>
      </c>
      <c r="J174" s="17" t="s">
        <v>500</v>
      </c>
      <c r="K174" s="17" t="s">
        <v>554</v>
      </c>
      <c r="L174" s="17" t="s">
        <v>555</v>
      </c>
      <c r="M174" s="17" t="s">
        <v>550</v>
      </c>
      <c r="N174" s="17" t="s">
        <v>553</v>
      </c>
    </row>
    <row r="175" spans="1:14">
      <c r="A175" s="17" t="s">
        <v>556</v>
      </c>
      <c r="B175" s="17" t="s">
        <v>14</v>
      </c>
      <c r="C175" s="17" t="str">
        <f t="shared" si="2"/>
        <v>0XFF</v>
      </c>
      <c r="D175" s="17">
        <v>255</v>
      </c>
      <c r="E175" s="17">
        <v>1</v>
      </c>
      <c r="F175" s="17">
        <v>1</v>
      </c>
      <c r="G175" s="17">
        <v>0</v>
      </c>
      <c r="H175" s="17">
        <v>16</v>
      </c>
      <c r="I175" s="17" t="s">
        <v>15</v>
      </c>
      <c r="J175" s="17" t="s">
        <v>66</v>
      </c>
      <c r="K175" s="17" t="s">
        <v>556</v>
      </c>
      <c r="L175" s="17" t="s">
        <v>557</v>
      </c>
      <c r="M175" s="17" t="s">
        <v>558</v>
      </c>
      <c r="N175" s="17" t="s">
        <v>559</v>
      </c>
    </row>
    <row r="176" spans="1:14">
      <c r="A176" s="17" t="s">
        <v>560</v>
      </c>
      <c r="B176" s="17" t="s">
        <v>561</v>
      </c>
      <c r="C176" s="17" t="str">
        <f t="shared" ref="C176:C188" si="3">CONCATENATE("0x",DEC2HEX(_xlfn.BITOR(HEX2DEC(8000),_xlfn.BITLSHIFT(D176,2))))</f>
        <v>0x8004</v>
      </c>
      <c r="D176" s="17">
        <v>1</v>
      </c>
      <c r="E176" s="17">
        <v>0</v>
      </c>
      <c r="F176" s="17">
        <v>1</v>
      </c>
      <c r="G176" s="17">
        <v>1</v>
      </c>
      <c r="H176" s="17">
        <v>1</v>
      </c>
      <c r="I176" s="17" t="s">
        <v>562</v>
      </c>
      <c r="J176" s="17" t="s">
        <v>563</v>
      </c>
      <c r="K176" s="17" t="s">
        <v>560</v>
      </c>
      <c r="L176" s="17" t="s">
        <v>564</v>
      </c>
      <c r="M176" s="17" t="s">
        <v>18</v>
      </c>
      <c r="N176" s="17" t="s">
        <v>565</v>
      </c>
    </row>
    <row r="177" spans="1:14">
      <c r="A177" s="17" t="s">
        <v>566</v>
      </c>
      <c r="B177" s="17" t="s">
        <v>561</v>
      </c>
      <c r="C177" s="17" t="str">
        <f t="shared" si="3"/>
        <v>0x8008</v>
      </c>
      <c r="D177" s="17">
        <v>2</v>
      </c>
      <c r="E177" s="17">
        <v>0</v>
      </c>
      <c r="F177" s="17">
        <v>1</v>
      </c>
      <c r="G177" s="17">
        <v>1</v>
      </c>
      <c r="H177" s="17">
        <v>1</v>
      </c>
      <c r="I177" s="17" t="s">
        <v>562</v>
      </c>
      <c r="J177" s="17" t="s">
        <v>567</v>
      </c>
      <c r="K177" s="17" t="s">
        <v>566</v>
      </c>
      <c r="L177" s="17" t="s">
        <v>389</v>
      </c>
      <c r="M177" s="17" t="s">
        <v>18</v>
      </c>
      <c r="N177" s="17" t="s">
        <v>568</v>
      </c>
    </row>
    <row r="178" spans="1:14">
      <c r="A178" s="17" t="s">
        <v>569</v>
      </c>
      <c r="B178" s="17" t="s">
        <v>561</v>
      </c>
      <c r="C178" s="17" t="str">
        <f t="shared" si="3"/>
        <v>0x800C</v>
      </c>
      <c r="D178" s="17">
        <v>3</v>
      </c>
      <c r="E178" s="17">
        <v>0</v>
      </c>
      <c r="F178" s="17">
        <v>1</v>
      </c>
      <c r="G178" s="17">
        <v>1</v>
      </c>
      <c r="H178" s="17">
        <v>14</v>
      </c>
      <c r="I178" s="17" t="s">
        <v>562</v>
      </c>
      <c r="J178" s="17" t="s">
        <v>570</v>
      </c>
      <c r="K178" s="17" t="s">
        <v>569</v>
      </c>
      <c r="L178" s="17" t="s">
        <v>571</v>
      </c>
      <c r="M178" s="17" t="s">
        <v>572</v>
      </c>
      <c r="N178" s="17" t="s">
        <v>573</v>
      </c>
    </row>
    <row r="179" spans="1:14">
      <c r="A179" s="17" t="s">
        <v>574</v>
      </c>
      <c r="B179" s="17" t="s">
        <v>561</v>
      </c>
      <c r="C179" s="17" t="str">
        <f t="shared" si="3"/>
        <v>0x8010</v>
      </c>
      <c r="D179" s="17">
        <v>4</v>
      </c>
      <c r="E179" s="17">
        <v>1</v>
      </c>
      <c r="F179" s="17">
        <v>0</v>
      </c>
      <c r="G179" s="17">
        <v>1</v>
      </c>
      <c r="H179" s="17">
        <v>1</v>
      </c>
      <c r="I179" s="17" t="s">
        <v>562</v>
      </c>
      <c r="J179" s="17" t="s">
        <v>570</v>
      </c>
      <c r="K179" s="17" t="s">
        <v>574</v>
      </c>
      <c r="L179" s="17" t="s">
        <v>108</v>
      </c>
      <c r="M179" s="17" t="s">
        <v>18</v>
      </c>
      <c r="N179" s="17" t="s">
        <v>575</v>
      </c>
    </row>
    <row r="180" spans="1:14">
      <c r="A180" s="17" t="s">
        <v>576</v>
      </c>
      <c r="B180" s="17" t="s">
        <v>561</v>
      </c>
      <c r="C180" s="17" t="str">
        <f t="shared" si="3"/>
        <v>0x8014</v>
      </c>
      <c r="D180" s="17">
        <v>5</v>
      </c>
      <c r="E180" s="17">
        <v>0</v>
      </c>
      <c r="F180" s="17">
        <v>1</v>
      </c>
      <c r="G180" s="17">
        <v>1</v>
      </c>
      <c r="H180" s="17">
        <v>14</v>
      </c>
      <c r="I180" s="17" t="s">
        <v>562</v>
      </c>
      <c r="J180" s="17" t="s">
        <v>570</v>
      </c>
      <c r="K180" s="17" t="s">
        <v>576</v>
      </c>
      <c r="L180" s="17" t="s">
        <v>111</v>
      </c>
      <c r="M180" s="17" t="s">
        <v>572</v>
      </c>
      <c r="N180" s="17" t="s">
        <v>577</v>
      </c>
    </row>
    <row r="181" spans="1:14">
      <c r="A181" s="17" t="s">
        <v>578</v>
      </c>
      <c r="B181" s="17" t="s">
        <v>561</v>
      </c>
      <c r="C181" s="17" t="str">
        <f t="shared" si="3"/>
        <v>0x8018</v>
      </c>
      <c r="D181" s="17">
        <v>6</v>
      </c>
      <c r="E181" s="17">
        <v>0</v>
      </c>
      <c r="F181" s="17">
        <v>1</v>
      </c>
      <c r="G181" s="17">
        <v>1</v>
      </c>
      <c r="H181" s="17">
        <v>14</v>
      </c>
      <c r="I181" s="17" t="s">
        <v>562</v>
      </c>
      <c r="J181" s="17" t="s">
        <v>570</v>
      </c>
      <c r="K181" s="17" t="s">
        <v>578</v>
      </c>
      <c r="L181" s="17" t="s">
        <v>579</v>
      </c>
      <c r="M181" s="17" t="s">
        <v>572</v>
      </c>
      <c r="N181" s="17" t="s">
        <v>580</v>
      </c>
    </row>
    <row r="182" spans="1:14">
      <c r="A182" s="17" t="s">
        <v>581</v>
      </c>
      <c r="B182" s="17" t="s">
        <v>561</v>
      </c>
      <c r="C182" s="17" t="str">
        <f t="shared" si="3"/>
        <v>0x801C</v>
      </c>
      <c r="D182" s="17">
        <v>7</v>
      </c>
      <c r="E182" s="17">
        <v>0</v>
      </c>
      <c r="F182" s="17">
        <v>1</v>
      </c>
      <c r="G182" s="17">
        <v>1</v>
      </c>
      <c r="H182" s="17">
        <v>1</v>
      </c>
      <c r="I182" s="17" t="s">
        <v>562</v>
      </c>
      <c r="J182" s="17" t="s">
        <v>582</v>
      </c>
      <c r="K182" s="17" t="s">
        <v>581</v>
      </c>
      <c r="L182" s="17" t="s">
        <v>583</v>
      </c>
      <c r="M182" s="17" t="s">
        <v>18</v>
      </c>
      <c r="N182" s="17" t="s">
        <v>584</v>
      </c>
    </row>
    <row r="183" spans="1:14">
      <c r="A183" s="17" t="s">
        <v>585</v>
      </c>
      <c r="B183" s="17" t="s">
        <v>561</v>
      </c>
      <c r="C183" s="17" t="str">
        <f t="shared" si="3"/>
        <v>0x8020</v>
      </c>
      <c r="D183" s="17">
        <v>8</v>
      </c>
      <c r="E183" s="17">
        <v>0</v>
      </c>
      <c r="F183" s="17">
        <v>1</v>
      </c>
      <c r="G183" s="17">
        <v>1</v>
      </c>
      <c r="H183" s="17">
        <v>1</v>
      </c>
      <c r="I183" s="17" t="s">
        <v>562</v>
      </c>
      <c r="J183" s="17" t="s">
        <v>582</v>
      </c>
      <c r="K183" s="17" t="s">
        <v>585</v>
      </c>
      <c r="L183" s="17" t="s">
        <v>586</v>
      </c>
      <c r="M183" s="17" t="s">
        <v>18</v>
      </c>
      <c r="N183" s="17" t="s">
        <v>587</v>
      </c>
    </row>
    <row r="184" spans="1:14">
      <c r="A184" s="17" t="s">
        <v>588</v>
      </c>
      <c r="B184" s="17" t="s">
        <v>561</v>
      </c>
      <c r="C184" s="17" t="str">
        <f t="shared" si="3"/>
        <v>0x8024</v>
      </c>
      <c r="D184" s="17">
        <v>9</v>
      </c>
      <c r="E184" s="17">
        <v>0</v>
      </c>
      <c r="F184" s="17">
        <v>1</v>
      </c>
      <c r="G184" s="17">
        <v>1</v>
      </c>
      <c r="H184" s="17">
        <v>1</v>
      </c>
      <c r="I184" s="17" t="s">
        <v>562</v>
      </c>
      <c r="J184" s="17" t="s">
        <v>582</v>
      </c>
      <c r="K184" s="17" t="s">
        <v>588</v>
      </c>
      <c r="L184" s="17" t="s">
        <v>589</v>
      </c>
      <c r="M184" s="17" t="s">
        <v>18</v>
      </c>
      <c r="N184" s="17" t="s">
        <v>590</v>
      </c>
    </row>
    <row r="185" spans="1:14">
      <c r="A185" s="17" t="s">
        <v>591</v>
      </c>
      <c r="B185" s="17" t="s">
        <v>561</v>
      </c>
      <c r="C185" s="17" t="str">
        <f t="shared" si="3"/>
        <v>0x8028</v>
      </c>
      <c r="D185" s="17">
        <v>10</v>
      </c>
      <c r="E185" s="17">
        <v>0</v>
      </c>
      <c r="F185" s="17">
        <v>1</v>
      </c>
      <c r="G185" s="17">
        <v>1</v>
      </c>
      <c r="H185" s="17">
        <v>5</v>
      </c>
      <c r="I185" s="17" t="s">
        <v>562</v>
      </c>
      <c r="J185" s="17" t="s">
        <v>592</v>
      </c>
      <c r="K185" s="17" t="s">
        <v>591</v>
      </c>
      <c r="L185" s="17" t="s">
        <v>593</v>
      </c>
      <c r="M185" s="17" t="s">
        <v>594</v>
      </c>
      <c r="N185" s="17" t="s">
        <v>595</v>
      </c>
    </row>
    <row r="186" spans="1:14">
      <c r="A186" s="17" t="s">
        <v>596</v>
      </c>
      <c r="B186" s="17" t="s">
        <v>561</v>
      </c>
      <c r="C186" s="17" t="str">
        <f t="shared" si="3"/>
        <v>0x802C</v>
      </c>
      <c r="D186" s="17">
        <v>11</v>
      </c>
      <c r="E186" s="17">
        <v>0</v>
      </c>
      <c r="F186" s="17">
        <v>1</v>
      </c>
      <c r="G186" s="17">
        <v>1</v>
      </c>
      <c r="H186" s="17">
        <v>1</v>
      </c>
      <c r="I186" s="17" t="s">
        <v>562</v>
      </c>
      <c r="J186" s="17" t="s">
        <v>592</v>
      </c>
      <c r="K186" s="17" t="s">
        <v>596</v>
      </c>
      <c r="L186" s="17" t="s">
        <v>597</v>
      </c>
      <c r="M186" s="17" t="s">
        <v>18</v>
      </c>
      <c r="N186" s="17" t="s">
        <v>598</v>
      </c>
    </row>
    <row r="187" spans="1:14">
      <c r="A187" s="17" t="s">
        <v>599</v>
      </c>
      <c r="B187" s="17" t="s">
        <v>561</v>
      </c>
      <c r="C187" s="17" t="str">
        <f t="shared" si="3"/>
        <v>0x8030</v>
      </c>
      <c r="D187" s="17">
        <v>12</v>
      </c>
      <c r="E187" s="17">
        <v>0</v>
      </c>
      <c r="F187" s="17">
        <v>1</v>
      </c>
      <c r="G187" s="17">
        <v>1</v>
      </c>
      <c r="H187" s="17">
        <v>1</v>
      </c>
      <c r="I187" s="17" t="s">
        <v>562</v>
      </c>
      <c r="J187" s="17" t="s">
        <v>592</v>
      </c>
      <c r="K187" s="17" t="s">
        <v>599</v>
      </c>
      <c r="L187" s="17" t="s">
        <v>600</v>
      </c>
      <c r="M187" s="17" t="s">
        <v>18</v>
      </c>
      <c r="N187" s="17" t="s">
        <v>601</v>
      </c>
    </row>
    <row r="188" spans="1:14">
      <c r="A188" s="17" t="s">
        <v>602</v>
      </c>
      <c r="B188" s="17" t="s">
        <v>561</v>
      </c>
      <c r="C188" s="17" t="str">
        <f t="shared" si="3"/>
        <v>0x8034</v>
      </c>
      <c r="D188" s="17">
        <v>13</v>
      </c>
      <c r="E188" s="17">
        <v>0</v>
      </c>
      <c r="F188" s="17">
        <v>1</v>
      </c>
      <c r="G188" s="17">
        <v>1</v>
      </c>
      <c r="H188" s="17">
        <v>1</v>
      </c>
      <c r="I188" s="17" t="s">
        <v>562</v>
      </c>
      <c r="J188" s="17" t="s">
        <v>592</v>
      </c>
      <c r="K188" s="17" t="s">
        <v>602</v>
      </c>
      <c r="L188" s="17" t="s">
        <v>603</v>
      </c>
      <c r="M188" s="17" t="s">
        <v>18</v>
      </c>
      <c r="N188" s="17" t="s">
        <v>604</v>
      </c>
    </row>
    <row r="189" spans="1:14">
      <c r="A189" s="17" t="s">
        <v>605</v>
      </c>
      <c r="B189" s="17" t="s">
        <v>561</v>
      </c>
      <c r="C189" s="17" t="s">
        <v>606</v>
      </c>
      <c r="D189" s="17">
        <v>14</v>
      </c>
      <c r="E189" s="17">
        <v>0</v>
      </c>
      <c r="F189" s="17">
        <v>1</v>
      </c>
      <c r="G189" s="17">
        <v>1</v>
      </c>
      <c r="H189" s="17">
        <v>1</v>
      </c>
      <c r="I189" s="17" t="s">
        <v>562</v>
      </c>
      <c r="J189" s="17" t="s">
        <v>607</v>
      </c>
      <c r="K189" s="17" t="s">
        <v>605</v>
      </c>
      <c r="L189" s="17" t="s">
        <v>608</v>
      </c>
      <c r="M189" s="17" t="s">
        <v>18</v>
      </c>
      <c r="N189" s="17" t="s">
        <v>609</v>
      </c>
    </row>
    <row r="190" spans="1:14">
      <c r="A190" s="17" t="s">
        <v>610</v>
      </c>
      <c r="B190" s="17" t="s">
        <v>561</v>
      </c>
      <c r="C190" s="17" t="str">
        <f>CONCATENATE("0x",DEC2HEX(_xlfn.BITOR(HEX2DEC(8000),_xlfn.BITLSHIFT(D190,2))))</f>
        <v>0x8038</v>
      </c>
      <c r="D190" s="17">
        <v>14</v>
      </c>
      <c r="E190" s="17">
        <v>1</v>
      </c>
      <c r="F190" s="17">
        <v>0</v>
      </c>
      <c r="G190" s="17">
        <v>1</v>
      </c>
      <c r="H190" s="17">
        <v>16</v>
      </c>
      <c r="I190" s="17" t="s">
        <v>562</v>
      </c>
      <c r="J190" s="17" t="s">
        <v>611</v>
      </c>
      <c r="K190" s="17" t="s">
        <v>610</v>
      </c>
      <c r="L190" s="17" t="s">
        <v>436</v>
      </c>
      <c r="M190" s="17" t="s">
        <v>612</v>
      </c>
      <c r="N190" s="17" t="s">
        <v>613</v>
      </c>
    </row>
    <row r="191" ht="28.5" spans="1:14">
      <c r="A191" s="16" t="s">
        <v>614</v>
      </c>
      <c r="B191" s="17" t="s">
        <v>561</v>
      </c>
      <c r="C191" s="17" t="s">
        <v>615</v>
      </c>
      <c r="D191" s="17">
        <v>19</v>
      </c>
      <c r="E191" s="17">
        <v>0</v>
      </c>
      <c r="F191" s="17">
        <v>1</v>
      </c>
      <c r="G191" s="17">
        <v>1</v>
      </c>
      <c r="H191" s="17">
        <v>1</v>
      </c>
      <c r="I191" s="17" t="s">
        <v>562</v>
      </c>
      <c r="J191" s="17" t="s">
        <v>616</v>
      </c>
      <c r="K191" s="16" t="s">
        <v>614</v>
      </c>
      <c r="L191" s="16" t="s">
        <v>617</v>
      </c>
      <c r="M191" s="16" t="s">
        <v>18</v>
      </c>
      <c r="N191" s="24" t="s">
        <v>618</v>
      </c>
    </row>
    <row r="192" spans="1:14">
      <c r="A192" s="16" t="s">
        <v>619</v>
      </c>
      <c r="B192" s="17" t="s">
        <v>561</v>
      </c>
      <c r="C192" s="17" t="s">
        <v>620</v>
      </c>
      <c r="D192" s="17">
        <v>20</v>
      </c>
      <c r="E192" s="17">
        <v>0</v>
      </c>
      <c r="F192" s="17">
        <v>1</v>
      </c>
      <c r="G192" s="17">
        <v>1</v>
      </c>
      <c r="H192" s="17">
        <v>32</v>
      </c>
      <c r="I192" s="17" t="s">
        <v>562</v>
      </c>
      <c r="J192" s="17" t="s">
        <v>616</v>
      </c>
      <c r="K192" s="16" t="s">
        <v>621</v>
      </c>
      <c r="L192" s="16" t="s">
        <v>622</v>
      </c>
      <c r="M192" s="16" t="s">
        <v>623</v>
      </c>
      <c r="N192" s="16" t="s">
        <v>624</v>
      </c>
    </row>
    <row r="193" spans="1:14">
      <c r="A193" s="16" t="s">
        <v>625</v>
      </c>
      <c r="B193" s="17" t="s">
        <v>561</v>
      </c>
      <c r="C193" s="17" t="s">
        <v>626</v>
      </c>
      <c r="D193" s="17">
        <v>21</v>
      </c>
      <c r="E193" s="17">
        <v>0</v>
      </c>
      <c r="F193" s="17">
        <v>1</v>
      </c>
      <c r="G193" s="17">
        <v>1</v>
      </c>
      <c r="H193" s="17">
        <v>12</v>
      </c>
      <c r="I193" s="17" t="s">
        <v>562</v>
      </c>
      <c r="J193" s="17" t="s">
        <v>616</v>
      </c>
      <c r="K193" s="16" t="s">
        <v>625</v>
      </c>
      <c r="L193" s="16" t="s">
        <v>627</v>
      </c>
      <c r="M193" s="16" t="s">
        <v>628</v>
      </c>
      <c r="N193" s="16" t="s">
        <v>629</v>
      </c>
    </row>
    <row r="194" spans="1:14">
      <c r="A194" s="16" t="s">
        <v>630</v>
      </c>
      <c r="B194" s="17" t="s">
        <v>561</v>
      </c>
      <c r="C194" s="17" t="s">
        <v>631</v>
      </c>
      <c r="D194" s="17">
        <v>22</v>
      </c>
      <c r="E194" s="17">
        <v>0</v>
      </c>
      <c r="F194" s="17">
        <v>1</v>
      </c>
      <c r="G194" s="17">
        <v>1</v>
      </c>
      <c r="H194" s="17">
        <v>1</v>
      </c>
      <c r="I194" s="17" t="s">
        <v>562</v>
      </c>
      <c r="J194" s="17" t="s">
        <v>616</v>
      </c>
      <c r="K194" s="16" t="s">
        <v>632</v>
      </c>
      <c r="L194" s="16" t="s">
        <v>633</v>
      </c>
      <c r="M194" s="16" t="s">
        <v>18</v>
      </c>
      <c r="N194" s="17" t="s">
        <v>634</v>
      </c>
    </row>
    <row r="195" spans="1:14">
      <c r="A195" s="16" t="s">
        <v>635</v>
      </c>
      <c r="B195" s="17" t="s">
        <v>561</v>
      </c>
      <c r="C195" s="17" t="s">
        <v>636</v>
      </c>
      <c r="D195" s="17">
        <v>23</v>
      </c>
      <c r="E195" s="17">
        <v>0</v>
      </c>
      <c r="F195" s="17">
        <v>1</v>
      </c>
      <c r="G195" s="17">
        <v>1</v>
      </c>
      <c r="H195" s="17">
        <v>1</v>
      </c>
      <c r="I195" s="17" t="s">
        <v>562</v>
      </c>
      <c r="J195" s="17" t="s">
        <v>616</v>
      </c>
      <c r="K195" s="16" t="s">
        <v>637</v>
      </c>
      <c r="L195" s="16" t="s">
        <v>638</v>
      </c>
      <c r="M195" s="16" t="s">
        <v>18</v>
      </c>
      <c r="N195" s="17" t="s">
        <v>639</v>
      </c>
    </row>
    <row r="196" spans="1:14">
      <c r="A196" s="16" t="s">
        <v>640</v>
      </c>
      <c r="B196" s="17" t="s">
        <v>561</v>
      </c>
      <c r="C196" s="17" t="s">
        <v>641</v>
      </c>
      <c r="D196" s="17">
        <v>24</v>
      </c>
      <c r="E196" s="17">
        <v>0</v>
      </c>
      <c r="F196" s="17">
        <v>1</v>
      </c>
      <c r="G196" s="17">
        <v>1</v>
      </c>
      <c r="H196" s="17">
        <v>32</v>
      </c>
      <c r="I196" s="17" t="s">
        <v>562</v>
      </c>
      <c r="J196" s="17" t="s">
        <v>616</v>
      </c>
      <c r="K196" s="16" t="s">
        <v>642</v>
      </c>
      <c r="L196" s="16" t="s">
        <v>643</v>
      </c>
      <c r="M196" s="16" t="s">
        <v>644</v>
      </c>
      <c r="N196" s="17" t="s">
        <v>645</v>
      </c>
    </row>
    <row r="197" spans="1:14">
      <c r="A197" s="16" t="s">
        <v>646</v>
      </c>
      <c r="B197" s="17" t="s">
        <v>561</v>
      </c>
      <c r="C197" s="17" t="s">
        <v>647</v>
      </c>
      <c r="D197" s="17">
        <v>25</v>
      </c>
      <c r="E197" s="17">
        <v>0</v>
      </c>
      <c r="F197" s="17">
        <v>1</v>
      </c>
      <c r="G197" s="17">
        <v>1</v>
      </c>
      <c r="H197" s="17">
        <v>1</v>
      </c>
      <c r="I197" s="17" t="s">
        <v>562</v>
      </c>
      <c r="J197" s="17" t="s">
        <v>616</v>
      </c>
      <c r="K197" s="16" t="s">
        <v>648</v>
      </c>
      <c r="L197" s="16" t="s">
        <v>649</v>
      </c>
      <c r="M197" s="16" t="s">
        <v>18</v>
      </c>
      <c r="N197" s="17" t="s">
        <v>650</v>
      </c>
    </row>
    <row r="198" spans="1:14">
      <c r="A198" s="17" t="s">
        <v>651</v>
      </c>
      <c r="B198" s="17" t="s">
        <v>561</v>
      </c>
      <c r="C198" s="17" t="str">
        <f t="shared" ref="C198:C224" si="4">CONCATENATE("0x",DEC2HEX(_xlfn.BITOR(HEX2DEC(8000),_xlfn.BITLSHIFT(D198,2))))</f>
        <v>0x8390</v>
      </c>
      <c r="D198" s="17">
        <v>228</v>
      </c>
      <c r="E198" s="17">
        <v>0</v>
      </c>
      <c r="F198" s="17">
        <v>1</v>
      </c>
      <c r="G198" s="17">
        <v>0</v>
      </c>
      <c r="H198" s="17">
        <v>16</v>
      </c>
      <c r="I198" s="17" t="s">
        <v>562</v>
      </c>
      <c r="J198" s="17" t="s">
        <v>493</v>
      </c>
      <c r="K198" s="17" t="s">
        <v>651</v>
      </c>
      <c r="L198" s="17" t="s">
        <v>494</v>
      </c>
      <c r="M198" s="17" t="s">
        <v>495</v>
      </c>
      <c r="N198" s="17" t="s">
        <v>496</v>
      </c>
    </row>
    <row r="199" spans="1:14">
      <c r="A199" s="17" t="s">
        <v>652</v>
      </c>
      <c r="B199" s="17" t="s">
        <v>561</v>
      </c>
      <c r="C199" s="17" t="str">
        <f t="shared" si="4"/>
        <v>0x8394</v>
      </c>
      <c r="D199" s="17">
        <v>229</v>
      </c>
      <c r="E199" s="17">
        <v>1</v>
      </c>
      <c r="F199" s="17">
        <v>0</v>
      </c>
      <c r="G199" s="17">
        <v>0</v>
      </c>
      <c r="H199" s="17">
        <v>16</v>
      </c>
      <c r="I199" s="17" t="s">
        <v>562</v>
      </c>
      <c r="J199" s="17" t="s">
        <v>493</v>
      </c>
      <c r="K199" s="17" t="s">
        <v>652</v>
      </c>
      <c r="L199" s="17" t="s">
        <v>498</v>
      </c>
      <c r="M199" s="17" t="s">
        <v>495</v>
      </c>
      <c r="N199" s="17" t="s">
        <v>496</v>
      </c>
    </row>
    <row r="200" spans="1:14">
      <c r="A200" s="17" t="s">
        <v>653</v>
      </c>
      <c r="B200" s="17" t="s">
        <v>561</v>
      </c>
      <c r="C200" s="17" t="str">
        <f t="shared" si="4"/>
        <v>0x8398</v>
      </c>
      <c r="D200" s="17">
        <v>230</v>
      </c>
      <c r="E200" s="17">
        <v>1</v>
      </c>
      <c r="F200" s="17">
        <v>0</v>
      </c>
      <c r="G200" s="17">
        <v>0</v>
      </c>
      <c r="H200" s="17">
        <v>16</v>
      </c>
      <c r="I200" s="17" t="s">
        <v>562</v>
      </c>
      <c r="J200" s="17" t="s">
        <v>500</v>
      </c>
      <c r="K200" s="17" t="s">
        <v>653</v>
      </c>
      <c r="L200" s="17" t="s">
        <v>501</v>
      </c>
      <c r="M200" s="17" t="s">
        <v>502</v>
      </c>
      <c r="N200" s="17" t="s">
        <v>503</v>
      </c>
    </row>
    <row r="201" spans="1:14">
      <c r="A201" s="17" t="s">
        <v>654</v>
      </c>
      <c r="B201" s="17" t="s">
        <v>561</v>
      </c>
      <c r="C201" s="17" t="str">
        <f t="shared" si="4"/>
        <v>0x839C</v>
      </c>
      <c r="D201" s="17">
        <v>231</v>
      </c>
      <c r="E201" s="17">
        <v>1</v>
      </c>
      <c r="F201" s="17">
        <v>0</v>
      </c>
      <c r="G201" s="17">
        <v>0</v>
      </c>
      <c r="H201" s="17">
        <v>16</v>
      </c>
      <c r="I201" s="17" t="s">
        <v>562</v>
      </c>
      <c r="J201" s="17" t="s">
        <v>500</v>
      </c>
      <c r="K201" s="17" t="s">
        <v>654</v>
      </c>
      <c r="L201" s="17" t="s">
        <v>505</v>
      </c>
      <c r="M201" s="17" t="s">
        <v>502</v>
      </c>
      <c r="N201" s="17" t="s">
        <v>503</v>
      </c>
    </row>
    <row r="202" spans="1:14">
      <c r="A202" s="17" t="s">
        <v>655</v>
      </c>
      <c r="B202" s="17" t="s">
        <v>561</v>
      </c>
      <c r="C202" s="17" t="str">
        <f t="shared" si="4"/>
        <v>0x83A0</v>
      </c>
      <c r="D202" s="17">
        <v>232</v>
      </c>
      <c r="E202" s="17">
        <v>1</v>
      </c>
      <c r="F202" s="17">
        <v>0</v>
      </c>
      <c r="G202" s="17">
        <v>0</v>
      </c>
      <c r="H202" s="17">
        <v>16</v>
      </c>
      <c r="I202" s="17" t="s">
        <v>562</v>
      </c>
      <c r="J202" s="17" t="s">
        <v>500</v>
      </c>
      <c r="K202" s="17" t="s">
        <v>655</v>
      </c>
      <c r="L202" s="17" t="s">
        <v>507</v>
      </c>
      <c r="M202" s="17" t="s">
        <v>502</v>
      </c>
      <c r="N202" s="17" t="s">
        <v>503</v>
      </c>
    </row>
    <row r="203" spans="1:14">
      <c r="A203" s="17" t="s">
        <v>656</v>
      </c>
      <c r="B203" s="17" t="s">
        <v>561</v>
      </c>
      <c r="C203" s="17" t="str">
        <f t="shared" si="4"/>
        <v>0x83A4</v>
      </c>
      <c r="D203" s="17">
        <v>233</v>
      </c>
      <c r="E203" s="17">
        <v>1</v>
      </c>
      <c r="F203" s="17">
        <v>0</v>
      </c>
      <c r="G203" s="17">
        <v>0</v>
      </c>
      <c r="H203" s="17">
        <v>16</v>
      </c>
      <c r="I203" s="17" t="s">
        <v>562</v>
      </c>
      <c r="J203" s="17" t="s">
        <v>500</v>
      </c>
      <c r="K203" s="17" t="s">
        <v>656</v>
      </c>
      <c r="L203" s="17" t="s">
        <v>509</v>
      </c>
      <c r="M203" s="17" t="s">
        <v>502</v>
      </c>
      <c r="N203" s="17" t="s">
        <v>503</v>
      </c>
    </row>
    <row r="204" spans="1:14">
      <c r="A204" s="17" t="s">
        <v>657</v>
      </c>
      <c r="B204" s="17" t="s">
        <v>561</v>
      </c>
      <c r="C204" s="17" t="str">
        <f t="shared" si="4"/>
        <v>0x83A8</v>
      </c>
      <c r="D204" s="17">
        <v>234</v>
      </c>
      <c r="E204" s="17">
        <v>1</v>
      </c>
      <c r="F204" s="17">
        <v>0</v>
      </c>
      <c r="G204" s="17">
        <v>0</v>
      </c>
      <c r="H204" s="17">
        <v>16</v>
      </c>
      <c r="I204" s="17" t="s">
        <v>562</v>
      </c>
      <c r="J204" s="17" t="s">
        <v>500</v>
      </c>
      <c r="K204" s="17" t="s">
        <v>657</v>
      </c>
      <c r="L204" s="17" t="s">
        <v>511</v>
      </c>
      <c r="M204" s="17" t="s">
        <v>502</v>
      </c>
      <c r="N204" s="17" t="s">
        <v>503</v>
      </c>
    </row>
    <row r="205" spans="1:14">
      <c r="A205" s="17" t="s">
        <v>658</v>
      </c>
      <c r="B205" s="17" t="s">
        <v>561</v>
      </c>
      <c r="C205" s="17" t="str">
        <f t="shared" si="4"/>
        <v>0x83AC</v>
      </c>
      <c r="D205" s="17">
        <v>235</v>
      </c>
      <c r="E205" s="17">
        <v>1</v>
      </c>
      <c r="F205" s="17">
        <v>0</v>
      </c>
      <c r="G205" s="17">
        <v>0</v>
      </c>
      <c r="H205" s="17">
        <v>16</v>
      </c>
      <c r="I205" s="17" t="s">
        <v>562</v>
      </c>
      <c r="J205" s="17" t="s">
        <v>500</v>
      </c>
      <c r="K205" s="17" t="s">
        <v>658</v>
      </c>
      <c r="L205" s="17" t="s">
        <v>513</v>
      </c>
      <c r="M205" s="17" t="s">
        <v>502</v>
      </c>
      <c r="N205" s="17" t="s">
        <v>503</v>
      </c>
    </row>
    <row r="206" spans="1:14">
      <c r="A206" s="17" t="s">
        <v>659</v>
      </c>
      <c r="B206" s="17" t="s">
        <v>561</v>
      </c>
      <c r="C206" s="17" t="str">
        <f t="shared" si="4"/>
        <v>0x83B0</v>
      </c>
      <c r="D206" s="17">
        <v>236</v>
      </c>
      <c r="E206" s="17">
        <v>1</v>
      </c>
      <c r="F206" s="17">
        <v>0</v>
      </c>
      <c r="G206" s="17">
        <v>0</v>
      </c>
      <c r="H206" s="17">
        <v>16</v>
      </c>
      <c r="I206" s="17" t="s">
        <v>562</v>
      </c>
      <c r="J206" s="17" t="s">
        <v>500</v>
      </c>
      <c r="K206" s="17" t="s">
        <v>659</v>
      </c>
      <c r="L206" s="17" t="s">
        <v>515</v>
      </c>
      <c r="M206" s="17" t="s">
        <v>502</v>
      </c>
      <c r="N206" s="17" t="s">
        <v>503</v>
      </c>
    </row>
    <row r="207" spans="1:14">
      <c r="A207" s="17" t="s">
        <v>660</v>
      </c>
      <c r="B207" s="17" t="s">
        <v>561</v>
      </c>
      <c r="C207" s="17" t="str">
        <f t="shared" si="4"/>
        <v>0x83B4</v>
      </c>
      <c r="D207" s="17">
        <v>237</v>
      </c>
      <c r="E207" s="17">
        <v>1</v>
      </c>
      <c r="F207" s="17">
        <v>0</v>
      </c>
      <c r="G207" s="17">
        <v>0</v>
      </c>
      <c r="H207" s="17">
        <v>16</v>
      </c>
      <c r="I207" s="17" t="s">
        <v>562</v>
      </c>
      <c r="J207" s="17" t="s">
        <v>500</v>
      </c>
      <c r="K207" s="17" t="s">
        <v>660</v>
      </c>
      <c r="L207" s="17" t="s">
        <v>517</v>
      </c>
      <c r="M207" s="17" t="s">
        <v>502</v>
      </c>
      <c r="N207" s="17" t="s">
        <v>503</v>
      </c>
    </row>
    <row r="208" spans="1:14">
      <c r="A208" s="17" t="s">
        <v>661</v>
      </c>
      <c r="B208" s="17" t="s">
        <v>561</v>
      </c>
      <c r="C208" s="17" t="str">
        <f t="shared" si="4"/>
        <v>0x83B8</v>
      </c>
      <c r="D208" s="17">
        <v>238</v>
      </c>
      <c r="E208" s="17">
        <v>1</v>
      </c>
      <c r="F208" s="17">
        <v>0</v>
      </c>
      <c r="G208" s="17">
        <v>0</v>
      </c>
      <c r="H208" s="17">
        <v>16</v>
      </c>
      <c r="I208" s="17" t="s">
        <v>562</v>
      </c>
      <c r="J208" s="17" t="s">
        <v>500</v>
      </c>
      <c r="K208" s="17" t="s">
        <v>661</v>
      </c>
      <c r="L208" s="17" t="s">
        <v>519</v>
      </c>
      <c r="M208" s="17" t="s">
        <v>502</v>
      </c>
      <c r="N208" s="17" t="s">
        <v>503</v>
      </c>
    </row>
    <row r="209" spans="1:14">
      <c r="A209" s="17" t="s">
        <v>662</v>
      </c>
      <c r="B209" s="17" t="s">
        <v>561</v>
      </c>
      <c r="C209" s="17" t="str">
        <f t="shared" si="4"/>
        <v>0x83BC</v>
      </c>
      <c r="D209" s="17">
        <v>239</v>
      </c>
      <c r="E209" s="17">
        <v>1</v>
      </c>
      <c r="F209" s="17">
        <v>0</v>
      </c>
      <c r="G209" s="17">
        <v>0</v>
      </c>
      <c r="H209" s="17">
        <v>16</v>
      </c>
      <c r="I209" s="17" t="s">
        <v>562</v>
      </c>
      <c r="J209" s="17" t="s">
        <v>500</v>
      </c>
      <c r="K209" s="17" t="s">
        <v>662</v>
      </c>
      <c r="L209" s="17" t="s">
        <v>521</v>
      </c>
      <c r="M209" s="17" t="s">
        <v>502</v>
      </c>
      <c r="N209" s="17" t="s">
        <v>503</v>
      </c>
    </row>
    <row r="210" spans="1:14">
      <c r="A210" s="17" t="s">
        <v>663</v>
      </c>
      <c r="B210" s="17" t="s">
        <v>561</v>
      </c>
      <c r="C210" s="17" t="str">
        <f t="shared" si="4"/>
        <v>0x83C0</v>
      </c>
      <c r="D210" s="17">
        <v>240</v>
      </c>
      <c r="E210" s="17">
        <v>1</v>
      </c>
      <c r="F210" s="17">
        <v>0</v>
      </c>
      <c r="G210" s="17">
        <v>0</v>
      </c>
      <c r="H210" s="17">
        <v>16</v>
      </c>
      <c r="I210" s="17" t="s">
        <v>562</v>
      </c>
      <c r="J210" s="17" t="s">
        <v>500</v>
      </c>
      <c r="K210" s="17" t="s">
        <v>663</v>
      </c>
      <c r="L210" s="17" t="s">
        <v>523</v>
      </c>
      <c r="M210" s="17" t="s">
        <v>502</v>
      </c>
      <c r="N210" s="17" t="s">
        <v>503</v>
      </c>
    </row>
    <row r="211" spans="1:14">
      <c r="A211" s="17" t="s">
        <v>664</v>
      </c>
      <c r="B211" s="17" t="s">
        <v>561</v>
      </c>
      <c r="C211" s="17" t="str">
        <f t="shared" si="4"/>
        <v>0x83C4</v>
      </c>
      <c r="D211" s="17">
        <v>241</v>
      </c>
      <c r="E211" s="17">
        <v>1</v>
      </c>
      <c r="F211" s="17">
        <v>0</v>
      </c>
      <c r="G211" s="17">
        <v>0</v>
      </c>
      <c r="H211" s="17">
        <v>16</v>
      </c>
      <c r="I211" s="17" t="s">
        <v>562</v>
      </c>
      <c r="J211" s="17" t="s">
        <v>500</v>
      </c>
      <c r="K211" s="17" t="s">
        <v>664</v>
      </c>
      <c r="L211" s="17" t="s">
        <v>525</v>
      </c>
      <c r="M211" s="17" t="s">
        <v>502</v>
      </c>
      <c r="N211" s="17" t="s">
        <v>503</v>
      </c>
    </row>
    <row r="212" spans="1:14">
      <c r="A212" s="17" t="s">
        <v>665</v>
      </c>
      <c r="B212" s="17" t="s">
        <v>561</v>
      </c>
      <c r="C212" s="17" t="str">
        <f t="shared" si="4"/>
        <v>0x83C8</v>
      </c>
      <c r="D212" s="17">
        <v>242</v>
      </c>
      <c r="E212" s="17">
        <v>1</v>
      </c>
      <c r="F212" s="17">
        <v>0</v>
      </c>
      <c r="G212" s="17">
        <v>0</v>
      </c>
      <c r="H212" s="17">
        <v>16</v>
      </c>
      <c r="I212" s="17" t="s">
        <v>562</v>
      </c>
      <c r="J212" s="17" t="s">
        <v>500</v>
      </c>
      <c r="K212" s="17" t="s">
        <v>665</v>
      </c>
      <c r="L212" s="17" t="s">
        <v>527</v>
      </c>
      <c r="M212" s="17" t="s">
        <v>502</v>
      </c>
      <c r="N212" s="17" t="s">
        <v>503</v>
      </c>
    </row>
    <row r="213" spans="1:14">
      <c r="A213" s="17" t="s">
        <v>666</v>
      </c>
      <c r="B213" s="17" t="s">
        <v>561</v>
      </c>
      <c r="C213" s="17" t="str">
        <f t="shared" si="4"/>
        <v>0x83CC</v>
      </c>
      <c r="D213" s="17">
        <v>243</v>
      </c>
      <c r="E213" s="17">
        <v>1</v>
      </c>
      <c r="F213" s="17">
        <v>0</v>
      </c>
      <c r="G213" s="17">
        <v>0</v>
      </c>
      <c r="H213" s="17">
        <v>16</v>
      </c>
      <c r="I213" s="17" t="s">
        <v>562</v>
      </c>
      <c r="J213" s="17" t="s">
        <v>500</v>
      </c>
      <c r="K213" s="17" t="s">
        <v>666</v>
      </c>
      <c r="L213" s="17" t="s">
        <v>529</v>
      </c>
      <c r="M213" s="17" t="s">
        <v>502</v>
      </c>
      <c r="N213" s="17" t="s">
        <v>503</v>
      </c>
    </row>
    <row r="214" spans="1:14">
      <c r="A214" s="17" t="s">
        <v>667</v>
      </c>
      <c r="B214" s="17" t="s">
        <v>561</v>
      </c>
      <c r="C214" s="17" t="str">
        <f t="shared" si="4"/>
        <v>0x83D0</v>
      </c>
      <c r="D214" s="17">
        <v>244</v>
      </c>
      <c r="E214" s="17">
        <v>1</v>
      </c>
      <c r="F214" s="17">
        <v>0</v>
      </c>
      <c r="G214" s="17">
        <v>0</v>
      </c>
      <c r="H214" s="17">
        <v>16</v>
      </c>
      <c r="I214" s="17" t="s">
        <v>562</v>
      </c>
      <c r="J214" s="17" t="s">
        <v>500</v>
      </c>
      <c r="K214" s="17" t="s">
        <v>667</v>
      </c>
      <c r="L214" s="17" t="s">
        <v>531</v>
      </c>
      <c r="M214" s="17" t="s">
        <v>502</v>
      </c>
      <c r="N214" s="17" t="s">
        <v>503</v>
      </c>
    </row>
    <row r="215" spans="1:14">
      <c r="A215" s="17" t="s">
        <v>668</v>
      </c>
      <c r="B215" s="17" t="s">
        <v>561</v>
      </c>
      <c r="C215" s="17" t="str">
        <f t="shared" si="4"/>
        <v>0x83D4</v>
      </c>
      <c r="D215" s="17">
        <v>245</v>
      </c>
      <c r="E215" s="17">
        <v>1</v>
      </c>
      <c r="F215" s="17">
        <v>0</v>
      </c>
      <c r="G215" s="17">
        <v>0</v>
      </c>
      <c r="H215" s="17">
        <v>16</v>
      </c>
      <c r="I215" s="17" t="s">
        <v>562</v>
      </c>
      <c r="J215" s="17" t="s">
        <v>500</v>
      </c>
      <c r="K215" s="17" t="s">
        <v>668</v>
      </c>
      <c r="L215" s="17" t="s">
        <v>533</v>
      </c>
      <c r="M215" s="17" t="s">
        <v>502</v>
      </c>
      <c r="N215" s="17" t="s">
        <v>503</v>
      </c>
    </row>
    <row r="216" spans="1:14">
      <c r="A216" s="17" t="s">
        <v>669</v>
      </c>
      <c r="B216" s="17" t="s">
        <v>561</v>
      </c>
      <c r="C216" s="17" t="str">
        <f t="shared" si="4"/>
        <v>0x83D8</v>
      </c>
      <c r="D216" s="17">
        <v>246</v>
      </c>
      <c r="E216" s="17">
        <v>1</v>
      </c>
      <c r="F216" s="17">
        <v>0</v>
      </c>
      <c r="G216" s="17">
        <v>0</v>
      </c>
      <c r="H216" s="17">
        <v>16</v>
      </c>
      <c r="I216" s="17" t="s">
        <v>562</v>
      </c>
      <c r="J216" s="17" t="s">
        <v>500</v>
      </c>
      <c r="K216" s="17" t="s">
        <v>669</v>
      </c>
      <c r="L216" s="17" t="s">
        <v>535</v>
      </c>
      <c r="M216" s="17" t="s">
        <v>536</v>
      </c>
      <c r="N216" s="17" t="s">
        <v>537</v>
      </c>
    </row>
    <row r="217" spans="1:14">
      <c r="A217" s="17" t="s">
        <v>670</v>
      </c>
      <c r="B217" s="17" t="s">
        <v>561</v>
      </c>
      <c r="C217" s="17" t="str">
        <f t="shared" si="4"/>
        <v>0x83DC</v>
      </c>
      <c r="D217" s="17">
        <v>247</v>
      </c>
      <c r="E217" s="17">
        <v>1</v>
      </c>
      <c r="F217" s="17">
        <v>0</v>
      </c>
      <c r="G217" s="17">
        <v>0</v>
      </c>
      <c r="H217" s="17">
        <v>16</v>
      </c>
      <c r="I217" s="17" t="s">
        <v>562</v>
      </c>
      <c r="J217" s="17" t="s">
        <v>500</v>
      </c>
      <c r="K217" s="17" t="s">
        <v>670</v>
      </c>
      <c r="L217" s="17" t="s">
        <v>539</v>
      </c>
      <c r="M217" s="17" t="s">
        <v>536</v>
      </c>
      <c r="N217" s="17" t="s">
        <v>537</v>
      </c>
    </row>
    <row r="218" spans="1:14">
      <c r="A218" s="17" t="s">
        <v>671</v>
      </c>
      <c r="B218" s="17" t="s">
        <v>561</v>
      </c>
      <c r="C218" s="17" t="str">
        <f t="shared" si="4"/>
        <v>0x83E0</v>
      </c>
      <c r="D218" s="17">
        <v>248</v>
      </c>
      <c r="E218" s="17">
        <v>1</v>
      </c>
      <c r="F218" s="17">
        <v>0</v>
      </c>
      <c r="G218" s="17">
        <v>0</v>
      </c>
      <c r="H218" s="17">
        <v>16</v>
      </c>
      <c r="I218" s="17" t="s">
        <v>562</v>
      </c>
      <c r="J218" s="17" t="s">
        <v>500</v>
      </c>
      <c r="K218" s="17" t="s">
        <v>671</v>
      </c>
      <c r="L218" s="17" t="s">
        <v>541</v>
      </c>
      <c r="M218" s="17" t="s">
        <v>536</v>
      </c>
      <c r="N218" s="17" t="s">
        <v>537</v>
      </c>
    </row>
    <row r="219" spans="1:14">
      <c r="A219" s="17" t="s">
        <v>672</v>
      </c>
      <c r="B219" s="17" t="s">
        <v>561</v>
      </c>
      <c r="C219" s="17" t="str">
        <f t="shared" si="4"/>
        <v>0x83E4</v>
      </c>
      <c r="D219" s="17">
        <v>249</v>
      </c>
      <c r="E219" s="17">
        <v>1</v>
      </c>
      <c r="F219" s="17">
        <v>0</v>
      </c>
      <c r="G219" s="17">
        <v>0</v>
      </c>
      <c r="H219" s="17">
        <v>16</v>
      </c>
      <c r="I219" s="17" t="s">
        <v>562</v>
      </c>
      <c r="J219" s="17" t="s">
        <v>500</v>
      </c>
      <c r="K219" s="17" t="s">
        <v>672</v>
      </c>
      <c r="L219" s="17" t="s">
        <v>543</v>
      </c>
      <c r="M219" s="17" t="s">
        <v>536</v>
      </c>
      <c r="N219" s="17" t="s">
        <v>537</v>
      </c>
    </row>
    <row r="220" spans="1:14">
      <c r="A220" s="17" t="s">
        <v>673</v>
      </c>
      <c r="B220" s="17" t="s">
        <v>561</v>
      </c>
      <c r="C220" s="17" t="str">
        <f t="shared" si="4"/>
        <v>0x83E8</v>
      </c>
      <c r="D220" s="17">
        <v>250</v>
      </c>
      <c r="E220" s="17">
        <v>1</v>
      </c>
      <c r="F220" s="17">
        <v>0</v>
      </c>
      <c r="G220" s="17">
        <v>0</v>
      </c>
      <c r="H220" s="17">
        <v>16</v>
      </c>
      <c r="I220" s="17" t="s">
        <v>562</v>
      </c>
      <c r="J220" s="17" t="s">
        <v>500</v>
      </c>
      <c r="K220" s="17" t="s">
        <v>673</v>
      </c>
      <c r="L220" s="17" t="s">
        <v>545</v>
      </c>
      <c r="M220" s="17" t="s">
        <v>546</v>
      </c>
      <c r="N220" s="17" t="s">
        <v>547</v>
      </c>
    </row>
    <row r="221" spans="1:14">
      <c r="A221" s="17" t="s">
        <v>674</v>
      </c>
      <c r="B221" s="17" t="s">
        <v>561</v>
      </c>
      <c r="C221" s="17" t="str">
        <f t="shared" si="4"/>
        <v>0x83F0</v>
      </c>
      <c r="D221" s="17">
        <v>252</v>
      </c>
      <c r="E221" s="17">
        <v>1</v>
      </c>
      <c r="F221" s="17">
        <v>0</v>
      </c>
      <c r="G221" s="17">
        <v>0</v>
      </c>
      <c r="H221" s="17">
        <v>16</v>
      </c>
      <c r="I221" s="17" t="s">
        <v>562</v>
      </c>
      <c r="J221" s="17" t="s">
        <v>500</v>
      </c>
      <c r="K221" s="17" t="s">
        <v>674</v>
      </c>
      <c r="L221" s="17" t="s">
        <v>549</v>
      </c>
      <c r="M221" s="17" t="s">
        <v>550</v>
      </c>
      <c r="N221" s="17" t="s">
        <v>547</v>
      </c>
    </row>
    <row r="222" spans="1:14">
      <c r="A222" s="17" t="s">
        <v>675</v>
      </c>
      <c r="B222" s="17" t="s">
        <v>561</v>
      </c>
      <c r="C222" s="17" t="str">
        <f t="shared" si="4"/>
        <v>0x83F4</v>
      </c>
      <c r="D222" s="17">
        <v>253</v>
      </c>
      <c r="E222" s="17">
        <v>1</v>
      </c>
      <c r="F222" s="17">
        <v>0</v>
      </c>
      <c r="G222" s="17">
        <v>0</v>
      </c>
      <c r="H222" s="17">
        <v>16</v>
      </c>
      <c r="I222" s="17" t="s">
        <v>562</v>
      </c>
      <c r="J222" s="17" t="s">
        <v>500</v>
      </c>
      <c r="K222" s="17" t="s">
        <v>675</v>
      </c>
      <c r="L222" s="17" t="s">
        <v>552</v>
      </c>
      <c r="M222" s="17" t="s">
        <v>546</v>
      </c>
      <c r="N222" s="17" t="s">
        <v>553</v>
      </c>
    </row>
    <row r="223" spans="1:14">
      <c r="A223" s="17" t="s">
        <v>676</v>
      </c>
      <c r="B223" s="17" t="s">
        <v>561</v>
      </c>
      <c r="C223" s="17" t="str">
        <f t="shared" si="4"/>
        <v>0x83F8</v>
      </c>
      <c r="D223" s="17">
        <v>254</v>
      </c>
      <c r="E223" s="17">
        <v>1</v>
      </c>
      <c r="F223" s="17">
        <v>0</v>
      </c>
      <c r="G223" s="17">
        <v>0</v>
      </c>
      <c r="H223" s="17">
        <v>16</v>
      </c>
      <c r="I223" s="17" t="s">
        <v>562</v>
      </c>
      <c r="J223" s="17" t="s">
        <v>500</v>
      </c>
      <c r="K223" s="17" t="s">
        <v>676</v>
      </c>
      <c r="L223" s="17" t="s">
        <v>555</v>
      </c>
      <c r="M223" s="17" t="s">
        <v>550</v>
      </c>
      <c r="N223" s="17" t="s">
        <v>553</v>
      </c>
    </row>
    <row r="224" spans="1:14">
      <c r="A224" s="17" t="s">
        <v>677</v>
      </c>
      <c r="B224" s="17" t="s">
        <v>561</v>
      </c>
      <c r="C224" s="17" t="str">
        <f t="shared" si="4"/>
        <v>0x83FC</v>
      </c>
      <c r="D224" s="17">
        <v>255</v>
      </c>
      <c r="E224" s="17">
        <v>1</v>
      </c>
      <c r="F224" s="17">
        <v>1</v>
      </c>
      <c r="G224" s="17">
        <v>0</v>
      </c>
      <c r="H224" s="17">
        <v>16</v>
      </c>
      <c r="I224" s="17" t="s">
        <v>562</v>
      </c>
      <c r="J224" s="17" t="s">
        <v>66</v>
      </c>
      <c r="K224" s="17" t="s">
        <v>677</v>
      </c>
      <c r="L224" s="17" t="s">
        <v>557</v>
      </c>
      <c r="M224" s="17" t="s">
        <v>558</v>
      </c>
      <c r="N224" s="17" t="s">
        <v>559</v>
      </c>
    </row>
    <row r="225" spans="1:14">
      <c r="A225" s="17" t="s">
        <v>678</v>
      </c>
      <c r="B225" s="17" t="s">
        <v>679</v>
      </c>
      <c r="C225" s="17" t="str">
        <f t="shared" ref="C225:C288" si="5">CONCATENATE("0X",DEC2HEX(D225))</f>
        <v>0X1</v>
      </c>
      <c r="D225" s="17">
        <v>1</v>
      </c>
      <c r="E225" s="17">
        <v>0</v>
      </c>
      <c r="F225" s="17">
        <v>1</v>
      </c>
      <c r="G225" s="17">
        <v>1</v>
      </c>
      <c r="H225" s="17">
        <v>8</v>
      </c>
      <c r="I225" s="17" t="s">
        <v>680</v>
      </c>
      <c r="J225" s="17" t="s">
        <v>607</v>
      </c>
      <c r="K225" s="17" t="s">
        <v>678</v>
      </c>
      <c r="L225" s="17" t="s">
        <v>678</v>
      </c>
      <c r="M225" s="17" t="s">
        <v>681</v>
      </c>
      <c r="N225" s="17" t="s">
        <v>682</v>
      </c>
    </row>
    <row r="226" spans="1:14">
      <c r="A226" s="17" t="s">
        <v>683</v>
      </c>
      <c r="B226" s="17" t="s">
        <v>679</v>
      </c>
      <c r="C226" s="17" t="str">
        <f t="shared" si="5"/>
        <v>0X2</v>
      </c>
      <c r="D226" s="17">
        <v>2</v>
      </c>
      <c r="E226" s="17">
        <v>1</v>
      </c>
      <c r="F226" s="17">
        <v>0</v>
      </c>
      <c r="G226" s="17">
        <v>1</v>
      </c>
      <c r="H226" s="17">
        <v>1</v>
      </c>
      <c r="I226" s="17" t="s">
        <v>680</v>
      </c>
      <c r="J226" s="17" t="s">
        <v>66</v>
      </c>
      <c r="K226" s="17" t="s">
        <v>683</v>
      </c>
      <c r="L226" s="17" t="s">
        <v>684</v>
      </c>
      <c r="M226" s="17" t="s">
        <v>18</v>
      </c>
      <c r="N226" s="17" t="s">
        <v>685</v>
      </c>
    </row>
    <row r="227" spans="1:14">
      <c r="A227" s="17" t="s">
        <v>686</v>
      </c>
      <c r="B227" s="17" t="s">
        <v>679</v>
      </c>
      <c r="C227" s="17" t="str">
        <f t="shared" si="5"/>
        <v>0X3</v>
      </c>
      <c r="D227" s="17">
        <v>3</v>
      </c>
      <c r="E227" s="17">
        <v>1</v>
      </c>
      <c r="F227" s="17">
        <v>0</v>
      </c>
      <c r="G227" s="17">
        <v>1</v>
      </c>
      <c r="H227" s="17">
        <v>1</v>
      </c>
      <c r="I227" s="17" t="s">
        <v>680</v>
      </c>
      <c r="J227" s="17" t="s">
        <v>66</v>
      </c>
      <c r="K227" s="17" t="s">
        <v>686</v>
      </c>
      <c r="L227" s="17" t="s">
        <v>687</v>
      </c>
      <c r="M227" s="17" t="s">
        <v>18</v>
      </c>
      <c r="N227" s="17" t="s">
        <v>688</v>
      </c>
    </row>
    <row r="228" spans="1:14">
      <c r="A228" s="17" t="s">
        <v>689</v>
      </c>
      <c r="B228" s="17" t="s">
        <v>679</v>
      </c>
      <c r="C228" s="17" t="str">
        <f t="shared" si="5"/>
        <v>0X4</v>
      </c>
      <c r="D228" s="17">
        <v>4</v>
      </c>
      <c r="E228" s="17">
        <v>0</v>
      </c>
      <c r="F228" s="17">
        <v>1</v>
      </c>
      <c r="G228" s="17">
        <v>1</v>
      </c>
      <c r="H228" s="17">
        <v>1</v>
      </c>
      <c r="I228" s="17" t="s">
        <v>680</v>
      </c>
      <c r="J228" s="17" t="s">
        <v>690</v>
      </c>
      <c r="K228" s="17" t="s">
        <v>689</v>
      </c>
      <c r="L228" s="17" t="s">
        <v>691</v>
      </c>
      <c r="M228" s="17" t="s">
        <v>18</v>
      </c>
      <c r="N228" s="17" t="s">
        <v>692</v>
      </c>
    </row>
    <row r="229" spans="1:14">
      <c r="A229" s="17" t="s">
        <v>693</v>
      </c>
      <c r="B229" s="17" t="s">
        <v>679</v>
      </c>
      <c r="C229" s="17" t="str">
        <f t="shared" si="5"/>
        <v>0X5</v>
      </c>
      <c r="D229" s="17">
        <v>5</v>
      </c>
      <c r="E229" s="17">
        <v>0</v>
      </c>
      <c r="F229" s="17">
        <v>1</v>
      </c>
      <c r="G229" s="17">
        <v>1</v>
      </c>
      <c r="H229" s="17">
        <v>1</v>
      </c>
      <c r="I229" s="17" t="s">
        <v>680</v>
      </c>
      <c r="J229" s="17" t="s">
        <v>690</v>
      </c>
      <c r="K229" s="17" t="s">
        <v>693</v>
      </c>
      <c r="L229" s="17" t="s">
        <v>694</v>
      </c>
      <c r="M229" s="17" t="s">
        <v>18</v>
      </c>
      <c r="N229" s="17" t="s">
        <v>695</v>
      </c>
    </row>
    <row r="230" spans="1:14">
      <c r="A230" s="17" t="s">
        <v>696</v>
      </c>
      <c r="B230" s="17" t="s">
        <v>679</v>
      </c>
      <c r="C230" s="17" t="str">
        <f t="shared" si="5"/>
        <v>0X6</v>
      </c>
      <c r="D230" s="17">
        <v>6</v>
      </c>
      <c r="E230" s="17">
        <v>0</v>
      </c>
      <c r="F230" s="17">
        <v>1</v>
      </c>
      <c r="G230" s="17">
        <v>1</v>
      </c>
      <c r="H230" s="17">
        <v>1</v>
      </c>
      <c r="I230" s="17" t="s">
        <v>680</v>
      </c>
      <c r="J230" s="17" t="s">
        <v>697</v>
      </c>
      <c r="K230" s="17" t="s">
        <v>696</v>
      </c>
      <c r="L230" s="17" t="s">
        <v>698</v>
      </c>
      <c r="M230" s="17" t="s">
        <v>699</v>
      </c>
      <c r="N230" s="17" t="s">
        <v>700</v>
      </c>
    </row>
    <row r="231" spans="1:14">
      <c r="A231" s="17" t="s">
        <v>701</v>
      </c>
      <c r="B231" s="17" t="s">
        <v>679</v>
      </c>
      <c r="C231" s="17" t="str">
        <f t="shared" si="5"/>
        <v>0X7</v>
      </c>
      <c r="D231" s="17">
        <v>7</v>
      </c>
      <c r="E231" s="17">
        <v>0</v>
      </c>
      <c r="F231" s="17">
        <v>1</v>
      </c>
      <c r="G231" s="17">
        <v>1</v>
      </c>
      <c r="H231" s="17">
        <v>1</v>
      </c>
      <c r="I231" s="17" t="s">
        <v>680</v>
      </c>
      <c r="J231" s="25" t="s">
        <v>563</v>
      </c>
      <c r="K231" s="17" t="s">
        <v>701</v>
      </c>
      <c r="L231" s="17" t="s">
        <v>389</v>
      </c>
      <c r="M231" s="17" t="s">
        <v>702</v>
      </c>
      <c r="N231" s="17" t="s">
        <v>703</v>
      </c>
    </row>
    <row r="232" spans="1:13">
      <c r="A232" s="17" t="s">
        <v>704</v>
      </c>
      <c r="B232" s="17" t="s">
        <v>705</v>
      </c>
      <c r="C232" s="17" t="str">
        <f t="shared" si="5"/>
        <v>0X8</v>
      </c>
      <c r="D232" s="17">
        <v>8</v>
      </c>
      <c r="E232" s="17">
        <v>1</v>
      </c>
      <c r="F232" s="17">
        <v>0</v>
      </c>
      <c r="G232" s="17">
        <v>1</v>
      </c>
      <c r="H232" s="17">
        <v>8</v>
      </c>
      <c r="I232" s="17" t="s">
        <v>680</v>
      </c>
      <c r="J232" s="17" t="s">
        <v>706</v>
      </c>
      <c r="K232" s="17" t="s">
        <v>707</v>
      </c>
      <c r="L232" s="17" t="s">
        <v>708</v>
      </c>
      <c r="M232" s="17" t="s">
        <v>709</v>
      </c>
    </row>
    <row r="233" spans="1:19">
      <c r="A233" s="17" t="s">
        <v>710</v>
      </c>
      <c r="B233" s="17" t="s">
        <v>705</v>
      </c>
      <c r="C233" s="17" t="str">
        <f t="shared" si="5"/>
        <v>0X9</v>
      </c>
      <c r="D233" s="17">
        <v>9</v>
      </c>
      <c r="E233" s="17">
        <v>0</v>
      </c>
      <c r="F233" s="17">
        <v>1</v>
      </c>
      <c r="G233" s="17">
        <v>1</v>
      </c>
      <c r="H233" s="17">
        <v>4</v>
      </c>
      <c r="I233" s="17" t="s">
        <v>680</v>
      </c>
      <c r="J233" s="17" t="s">
        <v>706</v>
      </c>
      <c r="K233" s="17" t="s">
        <v>710</v>
      </c>
      <c r="L233" s="17" t="s">
        <v>711</v>
      </c>
      <c r="M233" s="17" t="s">
        <v>712</v>
      </c>
      <c r="S233" s="17" t="s">
        <v>713</v>
      </c>
    </row>
    <row r="234" spans="1:19">
      <c r="A234" s="17" t="s">
        <v>714</v>
      </c>
      <c r="B234" s="17" t="s">
        <v>705</v>
      </c>
      <c r="C234" s="17" t="str">
        <f t="shared" si="5"/>
        <v>0XA</v>
      </c>
      <c r="D234" s="17">
        <v>10</v>
      </c>
      <c r="E234" s="17">
        <v>0</v>
      </c>
      <c r="F234" s="17">
        <v>1</v>
      </c>
      <c r="G234" s="17">
        <v>1</v>
      </c>
      <c r="H234" s="17">
        <v>1</v>
      </c>
      <c r="I234" s="17" t="s">
        <v>680</v>
      </c>
      <c r="J234" s="17" t="s">
        <v>706</v>
      </c>
      <c r="K234" s="17" t="s">
        <v>714</v>
      </c>
      <c r="L234" s="17" t="s">
        <v>389</v>
      </c>
      <c r="M234" s="17" t="s">
        <v>715</v>
      </c>
      <c r="S234" s="17" t="s">
        <v>716</v>
      </c>
    </row>
    <row r="235" spans="1:19">
      <c r="A235" s="17" t="s">
        <v>717</v>
      </c>
      <c r="B235" s="17" t="s">
        <v>705</v>
      </c>
      <c r="C235" s="17" t="str">
        <f t="shared" si="5"/>
        <v>0XB</v>
      </c>
      <c r="D235" s="17">
        <v>11</v>
      </c>
      <c r="E235" s="17">
        <v>1</v>
      </c>
      <c r="F235" s="17">
        <v>0</v>
      </c>
      <c r="G235" s="17">
        <v>1</v>
      </c>
      <c r="H235" s="17">
        <v>8</v>
      </c>
      <c r="I235" s="17" t="s">
        <v>680</v>
      </c>
      <c r="J235" s="17" t="s">
        <v>706</v>
      </c>
      <c r="K235" s="17" t="s">
        <v>718</v>
      </c>
      <c r="L235" s="17" t="s">
        <v>719</v>
      </c>
      <c r="M235" s="17" t="s">
        <v>720</v>
      </c>
      <c r="S235" s="17" t="s">
        <v>721</v>
      </c>
    </row>
    <row r="236" spans="1:19">
      <c r="A236" s="17" t="s">
        <v>722</v>
      </c>
      <c r="B236" s="17" t="s">
        <v>705</v>
      </c>
      <c r="C236" s="17" t="str">
        <f t="shared" si="5"/>
        <v>0XC</v>
      </c>
      <c r="D236" s="17">
        <v>12</v>
      </c>
      <c r="E236" s="17">
        <v>0</v>
      </c>
      <c r="F236" s="17">
        <v>1</v>
      </c>
      <c r="G236" s="17">
        <v>1</v>
      </c>
      <c r="H236" s="17">
        <v>1</v>
      </c>
      <c r="I236" s="17" t="s">
        <v>680</v>
      </c>
      <c r="J236" s="17" t="s">
        <v>706</v>
      </c>
      <c r="K236" s="17" t="s">
        <v>722</v>
      </c>
      <c r="L236" s="17" t="s">
        <v>723</v>
      </c>
      <c r="M236" s="17" t="s">
        <v>724</v>
      </c>
      <c r="S236" s="17" t="s">
        <v>725</v>
      </c>
    </row>
    <row r="237" spans="1:19">
      <c r="A237" s="17" t="s">
        <v>726</v>
      </c>
      <c r="B237" s="17" t="s">
        <v>705</v>
      </c>
      <c r="C237" s="17" t="str">
        <f t="shared" si="5"/>
        <v>0XD</v>
      </c>
      <c r="D237" s="17">
        <v>13</v>
      </c>
      <c r="E237" s="17">
        <v>0</v>
      </c>
      <c r="F237" s="17">
        <v>1</v>
      </c>
      <c r="G237" s="17">
        <v>1</v>
      </c>
      <c r="H237" s="17">
        <v>1</v>
      </c>
      <c r="I237" s="17" t="s">
        <v>680</v>
      </c>
      <c r="J237" s="17" t="s">
        <v>706</v>
      </c>
      <c r="K237" s="17" t="s">
        <v>726</v>
      </c>
      <c r="L237" s="17" t="s">
        <v>727</v>
      </c>
      <c r="M237" s="17" t="s">
        <v>728</v>
      </c>
      <c r="S237" s="17" t="s">
        <v>729</v>
      </c>
    </row>
    <row r="238" spans="1:19">
      <c r="A238" s="17" t="s">
        <v>730</v>
      </c>
      <c r="B238" s="17" t="s">
        <v>705</v>
      </c>
      <c r="C238" s="17" t="str">
        <f t="shared" si="5"/>
        <v>0XE</v>
      </c>
      <c r="D238" s="17">
        <v>14</v>
      </c>
      <c r="E238" s="17">
        <v>1</v>
      </c>
      <c r="F238" s="17">
        <v>0</v>
      </c>
      <c r="G238" s="17">
        <v>1</v>
      </c>
      <c r="H238" s="17">
        <v>7</v>
      </c>
      <c r="I238" s="17" t="s">
        <v>680</v>
      </c>
      <c r="J238" s="17" t="s">
        <v>706</v>
      </c>
      <c r="K238" s="17" t="s">
        <v>730</v>
      </c>
      <c r="L238" s="17" t="s">
        <v>731</v>
      </c>
      <c r="M238" s="17" t="s">
        <v>732</v>
      </c>
      <c r="N238" s="17" t="s">
        <v>733</v>
      </c>
      <c r="S238" s="17" t="s">
        <v>734</v>
      </c>
    </row>
    <row r="239" spans="1:19">
      <c r="A239" s="17" t="s">
        <v>735</v>
      </c>
      <c r="B239" s="17" t="s">
        <v>705</v>
      </c>
      <c r="C239" s="17" t="str">
        <f t="shared" si="5"/>
        <v>0XF</v>
      </c>
      <c r="D239" s="17">
        <v>15</v>
      </c>
      <c r="E239" s="17">
        <v>0</v>
      </c>
      <c r="F239" s="17">
        <v>1</v>
      </c>
      <c r="G239" s="17">
        <v>1</v>
      </c>
      <c r="H239" s="17">
        <v>1</v>
      </c>
      <c r="I239" s="17" t="s">
        <v>680</v>
      </c>
      <c r="J239" s="17" t="s">
        <v>706</v>
      </c>
      <c r="K239" s="17" t="s">
        <v>736</v>
      </c>
      <c r="L239" s="17" t="s">
        <v>737</v>
      </c>
      <c r="M239" s="17" t="s">
        <v>738</v>
      </c>
      <c r="N239" s="17" t="s">
        <v>739</v>
      </c>
      <c r="S239" s="17" t="s">
        <v>740</v>
      </c>
    </row>
    <row r="240" spans="1:19">
      <c r="A240" s="17" t="s">
        <v>741</v>
      </c>
      <c r="B240" s="17" t="s">
        <v>705</v>
      </c>
      <c r="C240" s="17" t="str">
        <f t="shared" si="5"/>
        <v>0X10</v>
      </c>
      <c r="D240" s="17">
        <v>16</v>
      </c>
      <c r="E240" s="17">
        <v>0</v>
      </c>
      <c r="F240" s="17">
        <v>1</v>
      </c>
      <c r="G240" s="17">
        <v>1</v>
      </c>
      <c r="H240" s="17">
        <v>1</v>
      </c>
      <c r="I240" s="17" t="s">
        <v>680</v>
      </c>
      <c r="J240" s="17" t="s">
        <v>706</v>
      </c>
      <c r="K240" s="17" t="s">
        <v>742</v>
      </c>
      <c r="L240" s="17" t="s">
        <v>743</v>
      </c>
      <c r="M240" s="17" t="s">
        <v>744</v>
      </c>
      <c r="S240" s="17" t="s">
        <v>745</v>
      </c>
    </row>
    <row r="241" spans="1:19">
      <c r="A241" s="17" t="s">
        <v>746</v>
      </c>
      <c r="B241" s="17" t="s">
        <v>705</v>
      </c>
      <c r="C241" s="17" t="str">
        <f t="shared" si="5"/>
        <v>0X11</v>
      </c>
      <c r="D241" s="17">
        <v>17</v>
      </c>
      <c r="E241" s="17">
        <v>0</v>
      </c>
      <c r="F241" s="17">
        <v>1</v>
      </c>
      <c r="G241" s="17">
        <v>1</v>
      </c>
      <c r="H241" s="17">
        <v>1</v>
      </c>
      <c r="I241" s="17" t="s">
        <v>680</v>
      </c>
      <c r="J241" s="17" t="s">
        <v>706</v>
      </c>
      <c r="K241" s="17" t="s">
        <v>746</v>
      </c>
      <c r="L241" s="17" t="s">
        <v>747</v>
      </c>
      <c r="M241" s="17" t="s">
        <v>748</v>
      </c>
      <c r="N241" s="17" t="s">
        <v>749</v>
      </c>
      <c r="S241" s="17" t="s">
        <v>750</v>
      </c>
    </row>
    <row r="242" spans="1:19">
      <c r="A242" s="17" t="s">
        <v>751</v>
      </c>
      <c r="B242" s="17" t="s">
        <v>705</v>
      </c>
      <c r="C242" s="17" t="str">
        <f t="shared" si="5"/>
        <v>0X12</v>
      </c>
      <c r="D242" s="17">
        <v>18</v>
      </c>
      <c r="E242" s="17">
        <v>0</v>
      </c>
      <c r="F242" s="17">
        <v>1</v>
      </c>
      <c r="G242" s="17">
        <v>1</v>
      </c>
      <c r="H242" s="17">
        <v>1</v>
      </c>
      <c r="I242" s="17" t="s">
        <v>680</v>
      </c>
      <c r="J242" s="17" t="s">
        <v>706</v>
      </c>
      <c r="K242" s="17" t="s">
        <v>752</v>
      </c>
      <c r="L242" s="17" t="s">
        <v>125</v>
      </c>
      <c r="M242" s="17" t="s">
        <v>753</v>
      </c>
      <c r="N242" s="17" t="s">
        <v>754</v>
      </c>
      <c r="S242" s="17" t="s">
        <v>755</v>
      </c>
    </row>
    <row r="243" spans="1:19">
      <c r="A243" s="17" t="s">
        <v>756</v>
      </c>
      <c r="B243" s="17" t="s">
        <v>705</v>
      </c>
      <c r="C243" s="17" t="str">
        <f t="shared" si="5"/>
        <v>0X13</v>
      </c>
      <c r="D243" s="17">
        <v>19</v>
      </c>
      <c r="E243" s="17">
        <v>0</v>
      </c>
      <c r="F243" s="17">
        <v>1</v>
      </c>
      <c r="G243" s="17">
        <v>1</v>
      </c>
      <c r="H243" s="17">
        <v>1</v>
      </c>
      <c r="I243" s="17" t="s">
        <v>680</v>
      </c>
      <c r="J243" s="17" t="s">
        <v>706</v>
      </c>
      <c r="K243" s="17" t="s">
        <v>756</v>
      </c>
      <c r="L243" s="17" t="s">
        <v>757</v>
      </c>
      <c r="M243" s="17" t="s">
        <v>758</v>
      </c>
      <c r="S243" s="17" t="s">
        <v>759</v>
      </c>
    </row>
    <row r="244" spans="1:19">
      <c r="A244" s="17" t="s">
        <v>760</v>
      </c>
      <c r="B244" s="17" t="s">
        <v>705</v>
      </c>
      <c r="C244" s="17" t="str">
        <f t="shared" si="5"/>
        <v>0X14</v>
      </c>
      <c r="D244" s="17">
        <v>20</v>
      </c>
      <c r="E244" s="17">
        <v>0</v>
      </c>
      <c r="F244" s="17">
        <v>1</v>
      </c>
      <c r="G244" s="17">
        <v>1</v>
      </c>
      <c r="H244" s="17">
        <v>7</v>
      </c>
      <c r="I244" s="17" t="s">
        <v>680</v>
      </c>
      <c r="J244" s="17" t="s">
        <v>100</v>
      </c>
      <c r="K244" s="17" t="s">
        <v>760</v>
      </c>
      <c r="L244" s="17" t="s">
        <v>761</v>
      </c>
      <c r="M244" s="17" t="s">
        <v>762</v>
      </c>
      <c r="S244" s="17" t="s">
        <v>763</v>
      </c>
    </row>
    <row r="245" spans="1:19">
      <c r="A245" s="17" t="s">
        <v>764</v>
      </c>
      <c r="B245" s="17" t="s">
        <v>679</v>
      </c>
      <c r="C245" s="17" t="str">
        <f t="shared" si="5"/>
        <v>0X15</v>
      </c>
      <c r="D245" s="17">
        <v>21</v>
      </c>
      <c r="E245" s="17">
        <v>0</v>
      </c>
      <c r="F245" s="17">
        <v>1</v>
      </c>
      <c r="G245" s="17">
        <v>1</v>
      </c>
      <c r="H245" s="17">
        <v>1</v>
      </c>
      <c r="I245" s="17" t="s">
        <v>680</v>
      </c>
      <c r="J245" s="17" t="s">
        <v>100</v>
      </c>
      <c r="K245" s="17" t="s">
        <v>764</v>
      </c>
      <c r="L245" s="17" t="s">
        <v>765</v>
      </c>
      <c r="M245" s="17" t="s">
        <v>18</v>
      </c>
      <c r="N245" s="17" t="s">
        <v>766</v>
      </c>
      <c r="S245" s="17" t="s">
        <v>767</v>
      </c>
    </row>
    <row r="246" spans="1:19">
      <c r="A246" s="17" t="s">
        <v>768</v>
      </c>
      <c r="B246" s="17" t="s">
        <v>679</v>
      </c>
      <c r="C246" s="17" t="str">
        <f t="shared" si="5"/>
        <v>0X16</v>
      </c>
      <c r="D246" s="17">
        <v>22</v>
      </c>
      <c r="E246" s="17">
        <v>0</v>
      </c>
      <c r="F246" s="17">
        <v>1</v>
      </c>
      <c r="G246" s="17">
        <v>1</v>
      </c>
      <c r="H246" s="17">
        <v>16</v>
      </c>
      <c r="I246" s="17" t="s">
        <v>680</v>
      </c>
      <c r="J246" s="17" t="s">
        <v>100</v>
      </c>
      <c r="K246" s="17" t="s">
        <v>768</v>
      </c>
      <c r="L246" s="17" t="s">
        <v>178</v>
      </c>
      <c r="M246" s="17" t="s">
        <v>168</v>
      </c>
      <c r="N246" s="17" t="s">
        <v>769</v>
      </c>
      <c r="S246" s="17" t="s">
        <v>770</v>
      </c>
    </row>
    <row r="247" spans="1:19">
      <c r="A247" s="17" t="s">
        <v>771</v>
      </c>
      <c r="B247" s="17" t="s">
        <v>679</v>
      </c>
      <c r="C247" s="17" t="str">
        <f t="shared" si="5"/>
        <v>0X17</v>
      </c>
      <c r="D247" s="17">
        <v>23</v>
      </c>
      <c r="E247" s="17">
        <v>1</v>
      </c>
      <c r="F247" s="17">
        <v>0</v>
      </c>
      <c r="G247" s="17">
        <v>1</v>
      </c>
      <c r="H247" s="17">
        <v>1</v>
      </c>
      <c r="I247" s="17" t="s">
        <v>680</v>
      </c>
      <c r="J247" s="17" t="s">
        <v>100</v>
      </c>
      <c r="K247" s="17" t="s">
        <v>771</v>
      </c>
      <c r="L247" s="17" t="s">
        <v>108</v>
      </c>
      <c r="M247" s="17" t="s">
        <v>18</v>
      </c>
      <c r="N247" s="17" t="s">
        <v>772</v>
      </c>
      <c r="S247" s="17" t="s">
        <v>773</v>
      </c>
    </row>
    <row r="248" spans="1:14">
      <c r="A248" s="17" t="s">
        <v>774</v>
      </c>
      <c r="B248" s="17" t="s">
        <v>679</v>
      </c>
      <c r="C248" s="17" t="str">
        <f t="shared" si="5"/>
        <v>0X18</v>
      </c>
      <c r="D248" s="17">
        <v>24</v>
      </c>
      <c r="E248" s="17">
        <v>1</v>
      </c>
      <c r="F248" s="17">
        <v>0</v>
      </c>
      <c r="G248" s="17">
        <v>1</v>
      </c>
      <c r="H248" s="17">
        <v>14</v>
      </c>
      <c r="I248" s="17" t="s">
        <v>680</v>
      </c>
      <c r="J248" s="17" t="s">
        <v>100</v>
      </c>
      <c r="K248" s="17" t="s">
        <v>774</v>
      </c>
      <c r="L248" s="17" t="s">
        <v>775</v>
      </c>
      <c r="M248" s="17" t="s">
        <v>572</v>
      </c>
      <c r="N248" s="17" t="s">
        <v>776</v>
      </c>
    </row>
    <row r="249" spans="1:14">
      <c r="A249" s="17" t="s">
        <v>777</v>
      </c>
      <c r="B249" s="17" t="s">
        <v>679</v>
      </c>
      <c r="C249" s="17" t="str">
        <f t="shared" si="5"/>
        <v>0X19</v>
      </c>
      <c r="D249" s="17">
        <v>25</v>
      </c>
      <c r="E249" s="17">
        <v>0</v>
      </c>
      <c r="F249" s="17">
        <v>1</v>
      </c>
      <c r="G249" s="17">
        <v>1</v>
      </c>
      <c r="H249" s="17">
        <v>5</v>
      </c>
      <c r="I249" s="17" t="s">
        <v>680</v>
      </c>
      <c r="J249" s="17" t="s">
        <v>592</v>
      </c>
      <c r="K249" s="17" t="s">
        <v>778</v>
      </c>
      <c r="L249" s="17" t="s">
        <v>593</v>
      </c>
      <c r="M249" s="17" t="s">
        <v>594</v>
      </c>
      <c r="N249" s="17" t="s">
        <v>595</v>
      </c>
    </row>
    <row r="250" spans="1:14">
      <c r="A250" s="17" t="s">
        <v>779</v>
      </c>
      <c r="B250" s="17" t="s">
        <v>679</v>
      </c>
      <c r="C250" s="17" t="str">
        <f t="shared" si="5"/>
        <v>0X1A</v>
      </c>
      <c r="D250" s="17">
        <v>26</v>
      </c>
      <c r="E250" s="17">
        <v>0</v>
      </c>
      <c r="F250" s="17">
        <v>1</v>
      </c>
      <c r="G250" s="17">
        <v>1</v>
      </c>
      <c r="H250" s="17">
        <v>5</v>
      </c>
      <c r="I250" s="17" t="s">
        <v>680</v>
      </c>
      <c r="J250" s="17" t="s">
        <v>592</v>
      </c>
      <c r="K250" s="17" t="s">
        <v>780</v>
      </c>
      <c r="L250" s="17" t="s">
        <v>781</v>
      </c>
      <c r="M250" s="17" t="s">
        <v>594</v>
      </c>
      <c r="N250" s="17" t="s">
        <v>595</v>
      </c>
    </row>
    <row r="251" spans="1:14">
      <c r="A251" s="17" t="s">
        <v>782</v>
      </c>
      <c r="B251" s="17" t="s">
        <v>679</v>
      </c>
      <c r="C251" s="17" t="str">
        <f t="shared" si="5"/>
        <v>0X1B</v>
      </c>
      <c r="D251" s="17">
        <v>27</v>
      </c>
      <c r="E251" s="17">
        <v>0</v>
      </c>
      <c r="F251" s="17">
        <v>1</v>
      </c>
      <c r="G251" s="17">
        <v>1</v>
      </c>
      <c r="H251" s="17">
        <v>1</v>
      </c>
      <c r="I251" s="17" t="s">
        <v>680</v>
      </c>
      <c r="J251" s="17" t="s">
        <v>592</v>
      </c>
      <c r="K251" s="17" t="s">
        <v>783</v>
      </c>
      <c r="L251" s="17" t="s">
        <v>597</v>
      </c>
      <c r="M251" s="17" t="s">
        <v>18</v>
      </c>
      <c r="N251" s="17" t="s">
        <v>784</v>
      </c>
    </row>
    <row r="252" spans="1:14">
      <c r="A252" s="17" t="s">
        <v>785</v>
      </c>
      <c r="B252" s="17" t="s">
        <v>679</v>
      </c>
      <c r="C252" s="17" t="str">
        <f t="shared" si="5"/>
        <v>0X1C</v>
      </c>
      <c r="D252" s="17">
        <v>28</v>
      </c>
      <c r="E252" s="17">
        <v>0</v>
      </c>
      <c r="F252" s="17">
        <v>1</v>
      </c>
      <c r="G252" s="17">
        <v>1</v>
      </c>
      <c r="H252" s="17">
        <v>1</v>
      </c>
      <c r="I252" s="17" t="s">
        <v>680</v>
      </c>
      <c r="J252" s="17" t="s">
        <v>592</v>
      </c>
      <c r="K252" s="17" t="s">
        <v>786</v>
      </c>
      <c r="L252" s="17" t="s">
        <v>787</v>
      </c>
      <c r="M252" s="17" t="s">
        <v>18</v>
      </c>
      <c r="N252" s="17" t="s">
        <v>784</v>
      </c>
    </row>
    <row r="253" spans="1:14">
      <c r="A253" s="17" t="s">
        <v>788</v>
      </c>
      <c r="B253" s="17" t="s">
        <v>679</v>
      </c>
      <c r="C253" s="17" t="str">
        <f t="shared" si="5"/>
        <v>0X1D</v>
      </c>
      <c r="D253" s="17">
        <v>29</v>
      </c>
      <c r="E253" s="17">
        <v>0</v>
      </c>
      <c r="F253" s="17">
        <v>1</v>
      </c>
      <c r="G253" s="17">
        <v>1</v>
      </c>
      <c r="H253" s="17">
        <v>1</v>
      </c>
      <c r="I253" s="17" t="s">
        <v>680</v>
      </c>
      <c r="J253" s="17" t="s">
        <v>592</v>
      </c>
      <c r="K253" s="17" t="s">
        <v>789</v>
      </c>
      <c r="L253" s="17" t="s">
        <v>790</v>
      </c>
      <c r="M253" s="17" t="s">
        <v>18</v>
      </c>
      <c r="N253" s="17" t="s">
        <v>601</v>
      </c>
    </row>
    <row r="254" spans="1:14">
      <c r="A254" s="17" t="s">
        <v>791</v>
      </c>
      <c r="B254" s="17" t="s">
        <v>679</v>
      </c>
      <c r="C254" s="17" t="str">
        <f t="shared" si="5"/>
        <v>0X1E</v>
      </c>
      <c r="D254" s="17">
        <v>30</v>
      </c>
      <c r="E254" s="17">
        <v>0</v>
      </c>
      <c r="F254" s="17">
        <v>1</v>
      </c>
      <c r="G254" s="17">
        <v>1</v>
      </c>
      <c r="H254" s="17">
        <v>1</v>
      </c>
      <c r="I254" s="17" t="s">
        <v>680</v>
      </c>
      <c r="J254" s="17" t="s">
        <v>592</v>
      </c>
      <c r="K254" s="17" t="s">
        <v>791</v>
      </c>
      <c r="L254" s="17" t="s">
        <v>603</v>
      </c>
      <c r="M254" s="17" t="s">
        <v>18</v>
      </c>
      <c r="N254" s="17" t="s">
        <v>604</v>
      </c>
    </row>
    <row r="255" spans="1:19">
      <c r="A255" s="17" t="s">
        <v>792</v>
      </c>
      <c r="B255" s="17" t="s">
        <v>705</v>
      </c>
      <c r="C255" s="17" t="str">
        <f t="shared" si="5"/>
        <v>0X2D</v>
      </c>
      <c r="D255" s="17">
        <v>45</v>
      </c>
      <c r="E255" s="17">
        <v>1</v>
      </c>
      <c r="F255" s="17">
        <v>0</v>
      </c>
      <c r="G255" s="17">
        <v>1</v>
      </c>
      <c r="H255" s="17">
        <v>1</v>
      </c>
      <c r="I255" s="17" t="s">
        <v>680</v>
      </c>
      <c r="J255" s="17" t="s">
        <v>793</v>
      </c>
      <c r="K255" s="17" t="s">
        <v>792</v>
      </c>
      <c r="L255" s="17" t="s">
        <v>794</v>
      </c>
      <c r="N255" s="17" t="s">
        <v>795</v>
      </c>
      <c r="S255" s="17" t="s">
        <v>796</v>
      </c>
    </row>
    <row r="256" spans="1:19">
      <c r="A256" s="17" t="s">
        <v>797</v>
      </c>
      <c r="B256" s="17" t="s">
        <v>705</v>
      </c>
      <c r="C256" s="17" t="str">
        <f t="shared" si="5"/>
        <v>0X2E</v>
      </c>
      <c r="D256" s="17">
        <v>46</v>
      </c>
      <c r="E256" s="17">
        <v>0</v>
      </c>
      <c r="F256" s="17">
        <v>1</v>
      </c>
      <c r="G256" s="17">
        <v>1</v>
      </c>
      <c r="H256" s="17">
        <v>1</v>
      </c>
      <c r="I256" s="17" t="s">
        <v>680</v>
      </c>
      <c r="J256" s="17" t="s">
        <v>793</v>
      </c>
      <c r="K256" s="17" t="s">
        <v>797</v>
      </c>
      <c r="L256" s="17" t="s">
        <v>798</v>
      </c>
      <c r="M256" s="17" t="s">
        <v>799</v>
      </c>
      <c r="N256" s="17" t="s">
        <v>800</v>
      </c>
      <c r="S256" s="17" t="s">
        <v>801</v>
      </c>
    </row>
    <row r="257" spans="1:19">
      <c r="A257" s="17" t="s">
        <v>802</v>
      </c>
      <c r="B257" s="17" t="s">
        <v>705</v>
      </c>
      <c r="C257" s="17" t="str">
        <f t="shared" si="5"/>
        <v>0X2F</v>
      </c>
      <c r="D257" s="17">
        <v>47</v>
      </c>
      <c r="E257" s="17">
        <v>0</v>
      </c>
      <c r="F257" s="17">
        <v>1</v>
      </c>
      <c r="G257" s="17">
        <v>1</v>
      </c>
      <c r="H257" s="17">
        <v>1</v>
      </c>
      <c r="I257" s="17" t="s">
        <v>680</v>
      </c>
      <c r="J257" s="17" t="s">
        <v>793</v>
      </c>
      <c r="K257" s="17" t="s">
        <v>802</v>
      </c>
      <c r="L257" s="17" t="s">
        <v>802</v>
      </c>
      <c r="M257" s="17" t="s">
        <v>803</v>
      </c>
      <c r="N257" s="17" t="s">
        <v>804</v>
      </c>
      <c r="S257" s="17" t="s">
        <v>805</v>
      </c>
    </row>
    <row r="258" spans="1:19">
      <c r="A258" s="17" t="s">
        <v>806</v>
      </c>
      <c r="B258" s="17" t="s">
        <v>705</v>
      </c>
      <c r="C258" s="17" t="str">
        <f t="shared" si="5"/>
        <v>0X30</v>
      </c>
      <c r="D258" s="17">
        <v>48</v>
      </c>
      <c r="E258" s="17">
        <v>1</v>
      </c>
      <c r="F258" s="17">
        <v>0</v>
      </c>
      <c r="G258" s="17">
        <v>1</v>
      </c>
      <c r="H258" s="17">
        <v>1</v>
      </c>
      <c r="I258" s="17" t="s">
        <v>680</v>
      </c>
      <c r="J258" s="17" t="s">
        <v>793</v>
      </c>
      <c r="K258" s="17" t="s">
        <v>806</v>
      </c>
      <c r="L258" s="17" t="s">
        <v>806</v>
      </c>
      <c r="N258" s="17" t="s">
        <v>795</v>
      </c>
      <c r="S258" s="17" t="s">
        <v>807</v>
      </c>
    </row>
    <row r="259" spans="1:19">
      <c r="A259" s="17" t="s">
        <v>808</v>
      </c>
      <c r="B259" s="17" t="s">
        <v>705</v>
      </c>
      <c r="C259" s="17" t="str">
        <f t="shared" si="5"/>
        <v>0X31</v>
      </c>
      <c r="D259" s="17">
        <v>49</v>
      </c>
      <c r="E259" s="17">
        <v>0</v>
      </c>
      <c r="F259" s="17">
        <v>1</v>
      </c>
      <c r="G259" s="17">
        <v>1</v>
      </c>
      <c r="H259" s="17">
        <v>16</v>
      </c>
      <c r="I259" s="17" t="s">
        <v>680</v>
      </c>
      <c r="J259" s="17" t="s">
        <v>793</v>
      </c>
      <c r="K259" s="17" t="s">
        <v>808</v>
      </c>
      <c r="L259" s="17" t="s">
        <v>808</v>
      </c>
      <c r="M259" s="17" t="s">
        <v>293</v>
      </c>
      <c r="S259" s="17" t="s">
        <v>809</v>
      </c>
    </row>
    <row r="260" spans="1:19">
      <c r="A260" s="17" t="s">
        <v>810</v>
      </c>
      <c r="B260" s="17" t="s">
        <v>705</v>
      </c>
      <c r="C260" s="17" t="str">
        <f t="shared" si="5"/>
        <v>0X32</v>
      </c>
      <c r="D260" s="17">
        <v>50</v>
      </c>
      <c r="E260" s="17">
        <v>0</v>
      </c>
      <c r="F260" s="17">
        <v>1</v>
      </c>
      <c r="G260" s="17">
        <v>1</v>
      </c>
      <c r="H260" s="17">
        <v>16</v>
      </c>
      <c r="I260" s="17" t="s">
        <v>680</v>
      </c>
      <c r="J260" s="17" t="s">
        <v>793</v>
      </c>
      <c r="K260" s="17" t="s">
        <v>810</v>
      </c>
      <c r="L260" s="17" t="s">
        <v>810</v>
      </c>
      <c r="M260" s="17" t="s">
        <v>295</v>
      </c>
      <c r="N260" s="17" t="s">
        <v>811</v>
      </c>
      <c r="S260" s="17" t="s">
        <v>812</v>
      </c>
    </row>
    <row r="261" spans="1:19">
      <c r="A261" s="17" t="s">
        <v>813</v>
      </c>
      <c r="B261" s="17" t="s">
        <v>705</v>
      </c>
      <c r="C261" s="17" t="str">
        <f t="shared" si="5"/>
        <v>0X33</v>
      </c>
      <c r="D261" s="17">
        <v>51</v>
      </c>
      <c r="E261" s="17">
        <v>0</v>
      </c>
      <c r="F261" s="17">
        <v>1</v>
      </c>
      <c r="G261" s="17">
        <v>1</v>
      </c>
      <c r="H261" s="17">
        <v>1</v>
      </c>
      <c r="I261" s="17" t="s">
        <v>680</v>
      </c>
      <c r="J261" s="17" t="s">
        <v>793</v>
      </c>
      <c r="K261" s="17" t="s">
        <v>813</v>
      </c>
      <c r="L261" s="17" t="s">
        <v>813</v>
      </c>
      <c r="M261" s="17" t="s">
        <v>814</v>
      </c>
      <c r="N261" s="17" t="s">
        <v>815</v>
      </c>
      <c r="S261" s="17" t="s">
        <v>816</v>
      </c>
    </row>
    <row r="262" spans="1:19">
      <c r="A262" s="17" t="s">
        <v>817</v>
      </c>
      <c r="B262" s="17" t="s">
        <v>705</v>
      </c>
      <c r="C262" s="17" t="str">
        <f t="shared" si="5"/>
        <v>0X34</v>
      </c>
      <c r="D262" s="17">
        <v>52</v>
      </c>
      <c r="E262" s="17">
        <v>0</v>
      </c>
      <c r="F262" s="17">
        <v>1</v>
      </c>
      <c r="G262" s="17">
        <v>1</v>
      </c>
      <c r="H262" s="17">
        <v>8</v>
      </c>
      <c r="I262" s="17" t="s">
        <v>680</v>
      </c>
      <c r="J262" s="17" t="s">
        <v>793</v>
      </c>
      <c r="K262" s="17" t="s">
        <v>817</v>
      </c>
      <c r="L262" s="17" t="s">
        <v>817</v>
      </c>
      <c r="N262" s="17" t="s">
        <v>818</v>
      </c>
      <c r="S262" s="17" t="s">
        <v>819</v>
      </c>
    </row>
    <row r="263" spans="1:19">
      <c r="A263" s="17" t="s">
        <v>820</v>
      </c>
      <c r="B263" s="17" t="s">
        <v>705</v>
      </c>
      <c r="C263" s="17" t="str">
        <f t="shared" si="5"/>
        <v>0X35</v>
      </c>
      <c r="D263" s="17">
        <v>53</v>
      </c>
      <c r="E263" s="17">
        <v>0</v>
      </c>
      <c r="F263" s="17">
        <v>1</v>
      </c>
      <c r="G263" s="17">
        <v>1</v>
      </c>
      <c r="H263" s="17">
        <v>16</v>
      </c>
      <c r="I263" s="17" t="s">
        <v>680</v>
      </c>
      <c r="J263" s="17" t="s">
        <v>793</v>
      </c>
      <c r="K263" s="17" t="s">
        <v>820</v>
      </c>
      <c r="L263" s="17" t="s">
        <v>820</v>
      </c>
      <c r="M263" s="17" t="s">
        <v>293</v>
      </c>
      <c r="S263" s="17" t="s">
        <v>821</v>
      </c>
    </row>
    <row r="264" spans="1:19">
      <c r="A264" s="17" t="s">
        <v>822</v>
      </c>
      <c r="B264" s="17" t="s">
        <v>705</v>
      </c>
      <c r="C264" s="17" t="str">
        <f t="shared" si="5"/>
        <v>0X36</v>
      </c>
      <c r="D264" s="17">
        <v>54</v>
      </c>
      <c r="E264" s="17">
        <v>0</v>
      </c>
      <c r="F264" s="17">
        <v>1</v>
      </c>
      <c r="G264" s="17">
        <v>1</v>
      </c>
      <c r="H264" s="17">
        <v>16</v>
      </c>
      <c r="I264" s="17" t="s">
        <v>680</v>
      </c>
      <c r="J264" s="17" t="s">
        <v>793</v>
      </c>
      <c r="K264" s="17" t="s">
        <v>822</v>
      </c>
      <c r="L264" s="17" t="s">
        <v>822</v>
      </c>
      <c r="M264" s="17" t="s">
        <v>295</v>
      </c>
      <c r="S264" s="17" t="s">
        <v>823</v>
      </c>
    </row>
    <row r="265" spans="1:19">
      <c r="A265" s="17" t="s">
        <v>824</v>
      </c>
      <c r="B265" s="17" t="s">
        <v>705</v>
      </c>
      <c r="C265" s="17" t="str">
        <f t="shared" si="5"/>
        <v>0X37</v>
      </c>
      <c r="D265" s="17">
        <v>55</v>
      </c>
      <c r="E265" s="17">
        <v>0</v>
      </c>
      <c r="F265" s="17">
        <v>1</v>
      </c>
      <c r="G265" s="17">
        <v>1</v>
      </c>
      <c r="H265" s="17">
        <v>16</v>
      </c>
      <c r="I265" s="17" t="s">
        <v>680</v>
      </c>
      <c r="J265" s="17" t="s">
        <v>793</v>
      </c>
      <c r="K265" s="17" t="s">
        <v>824</v>
      </c>
      <c r="L265" s="17" t="s">
        <v>824</v>
      </c>
      <c r="M265" s="17" t="s">
        <v>825</v>
      </c>
      <c r="N265" s="17" t="s">
        <v>826</v>
      </c>
      <c r="S265" s="17" t="s">
        <v>827</v>
      </c>
    </row>
    <row r="266" spans="1:19">
      <c r="A266" s="17" t="s">
        <v>828</v>
      </c>
      <c r="B266" s="17" t="s">
        <v>705</v>
      </c>
      <c r="C266" s="17" t="str">
        <f t="shared" si="5"/>
        <v>0X38</v>
      </c>
      <c r="D266" s="17">
        <v>56</v>
      </c>
      <c r="E266" s="17">
        <v>0</v>
      </c>
      <c r="F266" s="17">
        <v>1</v>
      </c>
      <c r="G266" s="17">
        <v>1</v>
      </c>
      <c r="H266" s="17">
        <v>16</v>
      </c>
      <c r="I266" s="17" t="s">
        <v>680</v>
      </c>
      <c r="J266" s="17" t="s">
        <v>793</v>
      </c>
      <c r="K266" s="17" t="s">
        <v>828</v>
      </c>
      <c r="L266" s="17" t="s">
        <v>828</v>
      </c>
      <c r="M266" s="17" t="s">
        <v>293</v>
      </c>
      <c r="S266" s="17" t="s">
        <v>829</v>
      </c>
    </row>
    <row r="267" spans="1:19">
      <c r="A267" s="17" t="s">
        <v>830</v>
      </c>
      <c r="B267" s="17" t="s">
        <v>705</v>
      </c>
      <c r="C267" s="17" t="str">
        <f t="shared" si="5"/>
        <v>0X39</v>
      </c>
      <c r="D267" s="17">
        <v>57</v>
      </c>
      <c r="E267" s="17">
        <v>0</v>
      </c>
      <c r="F267" s="17">
        <v>1</v>
      </c>
      <c r="G267" s="17">
        <v>1</v>
      </c>
      <c r="H267" s="17">
        <v>16</v>
      </c>
      <c r="I267" s="17" t="s">
        <v>680</v>
      </c>
      <c r="J267" s="17" t="s">
        <v>793</v>
      </c>
      <c r="K267" s="17" t="s">
        <v>830</v>
      </c>
      <c r="L267" s="17" t="s">
        <v>830</v>
      </c>
      <c r="M267" s="17" t="s">
        <v>295</v>
      </c>
      <c r="S267" s="17" t="s">
        <v>831</v>
      </c>
    </row>
    <row r="268" spans="1:14">
      <c r="A268" s="17" t="s">
        <v>832</v>
      </c>
      <c r="B268" s="17" t="s">
        <v>705</v>
      </c>
      <c r="C268" s="17" t="str">
        <f t="shared" si="5"/>
        <v>0X3A</v>
      </c>
      <c r="D268" s="17">
        <v>58</v>
      </c>
      <c r="E268" s="17">
        <v>0</v>
      </c>
      <c r="F268" s="17">
        <v>1</v>
      </c>
      <c r="G268" s="17">
        <v>1</v>
      </c>
      <c r="H268" s="17">
        <v>12</v>
      </c>
      <c r="I268" s="17" t="s">
        <v>680</v>
      </c>
      <c r="J268" s="17" t="s">
        <v>793</v>
      </c>
      <c r="K268" s="17" t="s">
        <v>832</v>
      </c>
      <c r="L268" s="17" t="s">
        <v>832</v>
      </c>
      <c r="M268" s="17" t="s">
        <v>833</v>
      </c>
      <c r="N268" s="19" t="s">
        <v>834</v>
      </c>
    </row>
    <row r="269" spans="1:19">
      <c r="A269" s="17" t="s">
        <v>835</v>
      </c>
      <c r="B269" s="17" t="s">
        <v>705</v>
      </c>
      <c r="C269" s="17" t="str">
        <f t="shared" si="5"/>
        <v>0X3B</v>
      </c>
      <c r="D269" s="17">
        <v>59</v>
      </c>
      <c r="E269" s="17">
        <v>0</v>
      </c>
      <c r="F269" s="17">
        <v>1</v>
      </c>
      <c r="G269" s="17">
        <v>1</v>
      </c>
      <c r="H269" s="17">
        <v>1</v>
      </c>
      <c r="I269" s="17" t="s">
        <v>680</v>
      </c>
      <c r="J269" s="17" t="s">
        <v>793</v>
      </c>
      <c r="K269" s="17" t="s">
        <v>835</v>
      </c>
      <c r="L269" s="17" t="s">
        <v>835</v>
      </c>
      <c r="M269" s="17" t="s">
        <v>836</v>
      </c>
      <c r="N269" s="17" t="s">
        <v>837</v>
      </c>
      <c r="S269" s="17" t="s">
        <v>838</v>
      </c>
    </row>
    <row r="270" spans="1:19">
      <c r="A270" s="17" t="s">
        <v>839</v>
      </c>
      <c r="B270" s="17" t="s">
        <v>705</v>
      </c>
      <c r="C270" s="17" t="str">
        <f t="shared" si="5"/>
        <v>0X3C</v>
      </c>
      <c r="D270" s="17">
        <v>60</v>
      </c>
      <c r="E270" s="17">
        <v>1</v>
      </c>
      <c r="F270" s="17">
        <v>0</v>
      </c>
      <c r="G270" s="17">
        <v>1</v>
      </c>
      <c r="H270" s="17">
        <v>1</v>
      </c>
      <c r="I270" s="17" t="s">
        <v>680</v>
      </c>
      <c r="J270" s="17" t="s">
        <v>793</v>
      </c>
      <c r="K270" s="17" t="s">
        <v>839</v>
      </c>
      <c r="L270" s="17" t="s">
        <v>839</v>
      </c>
      <c r="N270" s="17" t="s">
        <v>795</v>
      </c>
      <c r="S270" s="17" t="s">
        <v>840</v>
      </c>
    </row>
    <row r="271" spans="1:14">
      <c r="A271" s="17" t="s">
        <v>841</v>
      </c>
      <c r="B271" s="17" t="s">
        <v>705</v>
      </c>
      <c r="C271" s="17" t="str">
        <f t="shared" si="5"/>
        <v>0X3D</v>
      </c>
      <c r="D271" s="17">
        <v>61</v>
      </c>
      <c r="E271" s="17">
        <v>0</v>
      </c>
      <c r="F271" s="17">
        <v>1</v>
      </c>
      <c r="G271" s="17">
        <v>1</v>
      </c>
      <c r="H271" s="17">
        <v>1</v>
      </c>
      <c r="I271" s="17" t="s">
        <v>680</v>
      </c>
      <c r="J271" s="17" t="s">
        <v>842</v>
      </c>
      <c r="K271" s="17" t="s">
        <v>841</v>
      </c>
      <c r="L271" s="17" t="s">
        <v>843</v>
      </c>
      <c r="M271" s="17" t="s">
        <v>844</v>
      </c>
      <c r="N271" s="17" t="s">
        <v>845</v>
      </c>
    </row>
    <row r="272" spans="1:14">
      <c r="A272" s="17" t="s">
        <v>846</v>
      </c>
      <c r="B272" s="17" t="s">
        <v>705</v>
      </c>
      <c r="C272" s="17" t="str">
        <f t="shared" si="5"/>
        <v>0X3E</v>
      </c>
      <c r="D272" s="17">
        <v>62</v>
      </c>
      <c r="E272" s="17">
        <v>0</v>
      </c>
      <c r="F272" s="17">
        <v>1</v>
      </c>
      <c r="G272" s="17">
        <v>1</v>
      </c>
      <c r="H272" s="17">
        <v>16</v>
      </c>
      <c r="I272" s="17" t="s">
        <v>680</v>
      </c>
      <c r="J272" s="17" t="s">
        <v>842</v>
      </c>
      <c r="K272" s="17" t="s">
        <v>846</v>
      </c>
      <c r="L272" s="17" t="s">
        <v>847</v>
      </c>
      <c r="M272" s="17" t="s">
        <v>848</v>
      </c>
      <c r="N272" s="17" t="s">
        <v>848</v>
      </c>
    </row>
    <row r="273" spans="1:14">
      <c r="A273" s="17" t="s">
        <v>849</v>
      </c>
      <c r="B273" s="17" t="s">
        <v>705</v>
      </c>
      <c r="C273" s="17" t="str">
        <f t="shared" si="5"/>
        <v>0X3F</v>
      </c>
      <c r="D273" s="17">
        <v>63</v>
      </c>
      <c r="E273" s="17">
        <v>0</v>
      </c>
      <c r="F273" s="17">
        <v>1</v>
      </c>
      <c r="G273" s="17">
        <v>1</v>
      </c>
      <c r="H273" s="17">
        <v>16</v>
      </c>
      <c r="I273" s="17" t="s">
        <v>680</v>
      </c>
      <c r="J273" s="17" t="s">
        <v>842</v>
      </c>
      <c r="K273" s="17" t="s">
        <v>849</v>
      </c>
      <c r="L273" s="17" t="s">
        <v>850</v>
      </c>
      <c r="M273" s="17" t="s">
        <v>851</v>
      </c>
      <c r="N273" s="17" t="s">
        <v>851</v>
      </c>
    </row>
    <row r="274" spans="1:12">
      <c r="A274" s="17" t="s">
        <v>852</v>
      </c>
      <c r="B274" s="17" t="s">
        <v>705</v>
      </c>
      <c r="C274" s="17" t="str">
        <f t="shared" si="5"/>
        <v>0X40</v>
      </c>
      <c r="D274" s="17">
        <v>64</v>
      </c>
      <c r="E274" s="17">
        <v>0</v>
      </c>
      <c r="F274" s="17">
        <v>1</v>
      </c>
      <c r="G274" s="17">
        <v>1</v>
      </c>
      <c r="H274" s="17">
        <v>16</v>
      </c>
      <c r="I274" s="17" t="s">
        <v>680</v>
      </c>
      <c r="J274" s="17" t="s">
        <v>842</v>
      </c>
      <c r="K274" s="17" t="s">
        <v>852</v>
      </c>
      <c r="L274" s="17" t="s">
        <v>853</v>
      </c>
    </row>
    <row r="275" spans="1:12">
      <c r="A275" s="17" t="s">
        <v>854</v>
      </c>
      <c r="B275" s="17" t="s">
        <v>705</v>
      </c>
      <c r="C275" s="17" t="str">
        <f t="shared" ref="C275:C338" si="6">CONCATENATE("0X",DEC2HEX(D275))</f>
        <v>0X41</v>
      </c>
      <c r="D275" s="17">
        <v>65</v>
      </c>
      <c r="E275" s="17">
        <v>0</v>
      </c>
      <c r="F275" s="17">
        <v>1</v>
      </c>
      <c r="G275" s="17">
        <v>1</v>
      </c>
      <c r="H275" s="17">
        <v>16</v>
      </c>
      <c r="I275" s="17" t="s">
        <v>680</v>
      </c>
      <c r="J275" s="17" t="s">
        <v>842</v>
      </c>
      <c r="K275" s="17" t="s">
        <v>854</v>
      </c>
      <c r="L275" s="17" t="s">
        <v>855</v>
      </c>
    </row>
    <row r="276" spans="1:12">
      <c r="A276" s="17" t="s">
        <v>856</v>
      </c>
      <c r="B276" s="17" t="s">
        <v>705</v>
      </c>
      <c r="C276" s="17" t="str">
        <f t="shared" si="6"/>
        <v>0X42</v>
      </c>
      <c r="D276" s="17">
        <v>66</v>
      </c>
      <c r="E276" s="17">
        <v>0</v>
      </c>
      <c r="F276" s="17">
        <v>1</v>
      </c>
      <c r="G276" s="17">
        <v>1</v>
      </c>
      <c r="H276" s="17">
        <v>16</v>
      </c>
      <c r="I276" s="17" t="s">
        <v>680</v>
      </c>
      <c r="J276" s="17" t="s">
        <v>842</v>
      </c>
      <c r="K276" s="17" t="s">
        <v>856</v>
      </c>
      <c r="L276" s="17" t="s">
        <v>857</v>
      </c>
    </row>
    <row r="277" spans="1:12">
      <c r="A277" s="17" t="s">
        <v>858</v>
      </c>
      <c r="B277" s="17" t="s">
        <v>705</v>
      </c>
      <c r="C277" s="17" t="str">
        <f t="shared" si="6"/>
        <v>0X43</v>
      </c>
      <c r="D277" s="17">
        <v>67</v>
      </c>
      <c r="E277" s="17">
        <v>0</v>
      </c>
      <c r="F277" s="17">
        <v>1</v>
      </c>
      <c r="G277" s="17">
        <v>1</v>
      </c>
      <c r="H277" s="17">
        <v>16</v>
      </c>
      <c r="I277" s="17" t="s">
        <v>680</v>
      </c>
      <c r="J277" s="17" t="s">
        <v>842</v>
      </c>
      <c r="K277" s="17" t="s">
        <v>858</v>
      </c>
      <c r="L277" s="17" t="s">
        <v>859</v>
      </c>
    </row>
    <row r="278" spans="1:12">
      <c r="A278" s="17" t="s">
        <v>860</v>
      </c>
      <c r="B278" s="17" t="s">
        <v>705</v>
      </c>
      <c r="C278" s="17" t="str">
        <f t="shared" si="6"/>
        <v>0X44</v>
      </c>
      <c r="D278" s="17">
        <v>68</v>
      </c>
      <c r="E278" s="17">
        <v>0</v>
      </c>
      <c r="F278" s="17">
        <v>1</v>
      </c>
      <c r="G278" s="17">
        <v>1</v>
      </c>
      <c r="H278" s="17">
        <v>16</v>
      </c>
      <c r="I278" s="17" t="s">
        <v>680</v>
      </c>
      <c r="J278" s="17" t="s">
        <v>842</v>
      </c>
      <c r="K278" s="17" t="s">
        <v>860</v>
      </c>
      <c r="L278" s="17" t="s">
        <v>861</v>
      </c>
    </row>
    <row r="279" spans="1:12">
      <c r="A279" s="17" t="s">
        <v>862</v>
      </c>
      <c r="B279" s="17" t="s">
        <v>705</v>
      </c>
      <c r="C279" s="17" t="str">
        <f t="shared" si="6"/>
        <v>0X45</v>
      </c>
      <c r="D279" s="17">
        <v>69</v>
      </c>
      <c r="E279" s="17">
        <v>0</v>
      </c>
      <c r="F279" s="17">
        <v>1</v>
      </c>
      <c r="G279" s="17">
        <v>1</v>
      </c>
      <c r="H279" s="17">
        <v>16</v>
      </c>
      <c r="I279" s="17" t="s">
        <v>680</v>
      </c>
      <c r="J279" s="17" t="s">
        <v>842</v>
      </c>
      <c r="K279" s="17" t="s">
        <v>862</v>
      </c>
      <c r="L279" s="17" t="s">
        <v>863</v>
      </c>
    </row>
    <row r="280" spans="1:12">
      <c r="A280" s="17" t="s">
        <v>864</v>
      </c>
      <c r="B280" s="17" t="s">
        <v>705</v>
      </c>
      <c r="C280" s="17" t="str">
        <f t="shared" si="6"/>
        <v>0X46</v>
      </c>
      <c r="D280" s="17">
        <v>70</v>
      </c>
      <c r="E280" s="17">
        <v>0</v>
      </c>
      <c r="F280" s="17">
        <v>1</v>
      </c>
      <c r="G280" s="17">
        <v>1</v>
      </c>
      <c r="H280" s="17">
        <v>16</v>
      </c>
      <c r="I280" s="17" t="s">
        <v>680</v>
      </c>
      <c r="J280" s="17" t="s">
        <v>842</v>
      </c>
      <c r="K280" s="17" t="s">
        <v>864</v>
      </c>
      <c r="L280" s="17" t="s">
        <v>865</v>
      </c>
    </row>
    <row r="281" spans="1:12">
      <c r="A281" s="17" t="s">
        <v>866</v>
      </c>
      <c r="B281" s="17" t="s">
        <v>705</v>
      </c>
      <c r="C281" s="17" t="str">
        <f t="shared" si="6"/>
        <v>0X47</v>
      </c>
      <c r="D281" s="17">
        <v>71</v>
      </c>
      <c r="E281" s="17">
        <v>0</v>
      </c>
      <c r="F281" s="17">
        <v>1</v>
      </c>
      <c r="G281" s="17">
        <v>1</v>
      </c>
      <c r="H281" s="17">
        <v>16</v>
      </c>
      <c r="I281" s="17" t="s">
        <v>680</v>
      </c>
      <c r="J281" s="17" t="s">
        <v>842</v>
      </c>
      <c r="K281" s="17" t="s">
        <v>866</v>
      </c>
      <c r="L281" s="17" t="s">
        <v>867</v>
      </c>
    </row>
    <row r="282" spans="1:12">
      <c r="A282" s="17" t="s">
        <v>868</v>
      </c>
      <c r="B282" s="17" t="s">
        <v>705</v>
      </c>
      <c r="C282" s="17" t="str">
        <f t="shared" si="6"/>
        <v>0X48</v>
      </c>
      <c r="D282" s="17">
        <v>72</v>
      </c>
      <c r="E282" s="17">
        <v>0</v>
      </c>
      <c r="F282" s="17">
        <v>1</v>
      </c>
      <c r="G282" s="17">
        <v>1</v>
      </c>
      <c r="H282" s="17">
        <v>16</v>
      </c>
      <c r="I282" s="17" t="s">
        <v>680</v>
      </c>
      <c r="J282" s="17" t="s">
        <v>842</v>
      </c>
      <c r="K282" s="17" t="s">
        <v>868</v>
      </c>
      <c r="L282" s="17" t="s">
        <v>869</v>
      </c>
    </row>
    <row r="283" spans="1:12">
      <c r="A283" s="17" t="s">
        <v>870</v>
      </c>
      <c r="B283" s="17" t="s">
        <v>705</v>
      </c>
      <c r="C283" s="17" t="str">
        <f t="shared" si="6"/>
        <v>0X49</v>
      </c>
      <c r="D283" s="17">
        <v>73</v>
      </c>
      <c r="E283" s="17">
        <v>0</v>
      </c>
      <c r="F283" s="17">
        <v>1</v>
      </c>
      <c r="G283" s="17">
        <v>1</v>
      </c>
      <c r="H283" s="17">
        <v>16</v>
      </c>
      <c r="I283" s="17" t="s">
        <v>680</v>
      </c>
      <c r="J283" s="17" t="s">
        <v>842</v>
      </c>
      <c r="K283" s="17" t="s">
        <v>870</v>
      </c>
      <c r="L283" s="17" t="s">
        <v>871</v>
      </c>
    </row>
    <row r="284" spans="1:12">
      <c r="A284" s="17" t="s">
        <v>872</v>
      </c>
      <c r="B284" s="17" t="s">
        <v>705</v>
      </c>
      <c r="C284" s="17" t="str">
        <f t="shared" si="6"/>
        <v>0X4A</v>
      </c>
      <c r="D284" s="17">
        <v>74</v>
      </c>
      <c r="E284" s="17">
        <v>0</v>
      </c>
      <c r="F284" s="17">
        <v>1</v>
      </c>
      <c r="G284" s="17">
        <v>1</v>
      </c>
      <c r="H284" s="17">
        <v>16</v>
      </c>
      <c r="I284" s="17" t="s">
        <v>680</v>
      </c>
      <c r="J284" s="17" t="s">
        <v>842</v>
      </c>
      <c r="K284" s="17" t="s">
        <v>872</v>
      </c>
      <c r="L284" s="17" t="s">
        <v>873</v>
      </c>
    </row>
    <row r="285" spans="1:12">
      <c r="A285" s="17" t="s">
        <v>874</v>
      </c>
      <c r="B285" s="17" t="s">
        <v>705</v>
      </c>
      <c r="C285" s="17" t="str">
        <f t="shared" si="6"/>
        <v>0X4B</v>
      </c>
      <c r="D285" s="17">
        <v>75</v>
      </c>
      <c r="E285" s="17">
        <v>0</v>
      </c>
      <c r="F285" s="17">
        <v>1</v>
      </c>
      <c r="G285" s="17">
        <v>1</v>
      </c>
      <c r="H285" s="17">
        <v>16</v>
      </c>
      <c r="I285" s="17" t="s">
        <v>680</v>
      </c>
      <c r="J285" s="17" t="s">
        <v>842</v>
      </c>
      <c r="K285" s="17" t="s">
        <v>874</v>
      </c>
      <c r="L285" s="17" t="s">
        <v>875</v>
      </c>
    </row>
    <row r="286" spans="1:12">
      <c r="A286" s="17" t="s">
        <v>876</v>
      </c>
      <c r="B286" s="17" t="s">
        <v>705</v>
      </c>
      <c r="C286" s="17" t="str">
        <f t="shared" si="6"/>
        <v>0X4C</v>
      </c>
      <c r="D286" s="17">
        <v>76</v>
      </c>
      <c r="E286" s="17">
        <v>0</v>
      </c>
      <c r="F286" s="17">
        <v>1</v>
      </c>
      <c r="G286" s="17">
        <v>1</v>
      </c>
      <c r="H286" s="17">
        <v>16</v>
      </c>
      <c r="I286" s="17" t="s">
        <v>680</v>
      </c>
      <c r="J286" s="17" t="s">
        <v>842</v>
      </c>
      <c r="K286" s="17" t="s">
        <v>876</v>
      </c>
      <c r="L286" s="17" t="s">
        <v>877</v>
      </c>
    </row>
    <row r="287" spans="1:12">
      <c r="A287" s="17" t="s">
        <v>878</v>
      </c>
      <c r="B287" s="17" t="s">
        <v>705</v>
      </c>
      <c r="C287" s="17" t="str">
        <f t="shared" si="6"/>
        <v>0X4D</v>
      </c>
      <c r="D287" s="17">
        <v>77</v>
      </c>
      <c r="E287" s="17">
        <v>0</v>
      </c>
      <c r="F287" s="17">
        <v>1</v>
      </c>
      <c r="G287" s="17">
        <v>1</v>
      </c>
      <c r="H287" s="17">
        <v>16</v>
      </c>
      <c r="I287" s="17" t="s">
        <v>680</v>
      </c>
      <c r="J287" s="17" t="s">
        <v>842</v>
      </c>
      <c r="K287" s="17" t="s">
        <v>878</v>
      </c>
      <c r="L287" s="17" t="s">
        <v>879</v>
      </c>
    </row>
    <row r="288" spans="1:12">
      <c r="A288" s="17" t="s">
        <v>880</v>
      </c>
      <c r="B288" s="17" t="s">
        <v>705</v>
      </c>
      <c r="C288" s="17" t="str">
        <f t="shared" si="6"/>
        <v>0X4E</v>
      </c>
      <c r="D288" s="17">
        <v>78</v>
      </c>
      <c r="E288" s="17">
        <v>0</v>
      </c>
      <c r="F288" s="17">
        <v>1</v>
      </c>
      <c r="G288" s="17">
        <v>1</v>
      </c>
      <c r="H288" s="17">
        <v>16</v>
      </c>
      <c r="I288" s="17" t="s">
        <v>680</v>
      </c>
      <c r="J288" s="17" t="s">
        <v>842</v>
      </c>
      <c r="K288" s="17" t="s">
        <v>880</v>
      </c>
      <c r="L288" s="17" t="s">
        <v>881</v>
      </c>
    </row>
    <row r="289" spans="1:12">
      <c r="A289" s="17" t="s">
        <v>882</v>
      </c>
      <c r="B289" s="17" t="s">
        <v>705</v>
      </c>
      <c r="C289" s="17" t="str">
        <f t="shared" si="6"/>
        <v>0X4F</v>
      </c>
      <c r="D289" s="17">
        <v>79</v>
      </c>
      <c r="E289" s="17">
        <v>0</v>
      </c>
      <c r="F289" s="17">
        <v>1</v>
      </c>
      <c r="G289" s="17">
        <v>1</v>
      </c>
      <c r="H289" s="17">
        <v>16</v>
      </c>
      <c r="I289" s="17" t="s">
        <v>680</v>
      </c>
      <c r="J289" s="17" t="s">
        <v>842</v>
      </c>
      <c r="K289" s="17" t="s">
        <v>882</v>
      </c>
      <c r="L289" s="17" t="s">
        <v>883</v>
      </c>
    </row>
    <row r="290" spans="1:12">
      <c r="A290" s="17" t="s">
        <v>884</v>
      </c>
      <c r="B290" s="17" t="s">
        <v>705</v>
      </c>
      <c r="C290" s="17" t="str">
        <f t="shared" si="6"/>
        <v>0X50</v>
      </c>
      <c r="D290" s="17">
        <v>80</v>
      </c>
      <c r="E290" s="17">
        <v>0</v>
      </c>
      <c r="F290" s="17">
        <v>1</v>
      </c>
      <c r="G290" s="17">
        <v>1</v>
      </c>
      <c r="H290" s="17">
        <v>16</v>
      </c>
      <c r="I290" s="17" t="s">
        <v>680</v>
      </c>
      <c r="J290" s="17" t="s">
        <v>842</v>
      </c>
      <c r="K290" s="17" t="s">
        <v>884</v>
      </c>
      <c r="L290" s="17" t="s">
        <v>885</v>
      </c>
    </row>
    <row r="291" spans="1:12">
      <c r="A291" s="17" t="s">
        <v>886</v>
      </c>
      <c r="B291" s="17" t="s">
        <v>705</v>
      </c>
      <c r="C291" s="17" t="str">
        <f t="shared" si="6"/>
        <v>0X51</v>
      </c>
      <c r="D291" s="17">
        <v>81</v>
      </c>
      <c r="E291" s="17">
        <v>0</v>
      </c>
      <c r="F291" s="17">
        <v>1</v>
      </c>
      <c r="G291" s="17">
        <v>1</v>
      </c>
      <c r="H291" s="17">
        <v>16</v>
      </c>
      <c r="I291" s="17" t="s">
        <v>680</v>
      </c>
      <c r="J291" s="17" t="s">
        <v>842</v>
      </c>
      <c r="K291" s="17" t="s">
        <v>886</v>
      </c>
      <c r="L291" s="17" t="s">
        <v>887</v>
      </c>
    </row>
    <row r="292" spans="1:12">
      <c r="A292" s="17" t="s">
        <v>888</v>
      </c>
      <c r="B292" s="17" t="s">
        <v>705</v>
      </c>
      <c r="C292" s="17" t="str">
        <f t="shared" si="6"/>
        <v>0X52</v>
      </c>
      <c r="D292" s="17">
        <v>82</v>
      </c>
      <c r="E292" s="17">
        <v>0</v>
      </c>
      <c r="F292" s="17">
        <v>1</v>
      </c>
      <c r="G292" s="17">
        <v>1</v>
      </c>
      <c r="H292" s="17">
        <v>16</v>
      </c>
      <c r="I292" s="17" t="s">
        <v>680</v>
      </c>
      <c r="J292" s="17" t="s">
        <v>842</v>
      </c>
      <c r="K292" s="17" t="s">
        <v>888</v>
      </c>
      <c r="L292" s="17" t="s">
        <v>889</v>
      </c>
    </row>
    <row r="293" spans="1:12">
      <c r="A293" s="17" t="s">
        <v>890</v>
      </c>
      <c r="B293" s="17" t="s">
        <v>705</v>
      </c>
      <c r="C293" s="17" t="str">
        <f t="shared" si="6"/>
        <v>0X53</v>
      </c>
      <c r="D293" s="17">
        <v>83</v>
      </c>
      <c r="E293" s="17">
        <v>0</v>
      </c>
      <c r="F293" s="17">
        <v>1</v>
      </c>
      <c r="G293" s="17">
        <v>1</v>
      </c>
      <c r="H293" s="17">
        <v>16</v>
      </c>
      <c r="I293" s="17" t="s">
        <v>680</v>
      </c>
      <c r="J293" s="17" t="s">
        <v>842</v>
      </c>
      <c r="K293" s="17" t="s">
        <v>890</v>
      </c>
      <c r="L293" s="17" t="s">
        <v>891</v>
      </c>
    </row>
    <row r="294" spans="1:14">
      <c r="A294" s="17" t="s">
        <v>892</v>
      </c>
      <c r="B294" s="17" t="s">
        <v>705</v>
      </c>
      <c r="C294" s="17" t="str">
        <f t="shared" si="6"/>
        <v>0X54</v>
      </c>
      <c r="D294" s="17">
        <v>84</v>
      </c>
      <c r="E294" s="17">
        <v>1</v>
      </c>
      <c r="F294" s="17">
        <v>0</v>
      </c>
      <c r="G294" s="17">
        <v>1</v>
      </c>
      <c r="H294" s="17">
        <v>12</v>
      </c>
      <c r="I294" s="17" t="s">
        <v>680</v>
      </c>
      <c r="J294" s="17" t="s">
        <v>842</v>
      </c>
      <c r="K294" s="17" t="s">
        <v>892</v>
      </c>
      <c r="L294" s="17" t="s">
        <v>893</v>
      </c>
      <c r="N294" s="17" t="s">
        <v>894</v>
      </c>
    </row>
    <row r="295" spans="1:14">
      <c r="A295" s="17" t="s">
        <v>895</v>
      </c>
      <c r="B295" s="17" t="s">
        <v>705</v>
      </c>
      <c r="C295" s="17" t="str">
        <f t="shared" si="6"/>
        <v>0X55</v>
      </c>
      <c r="D295" s="17">
        <v>85</v>
      </c>
      <c r="E295" s="17">
        <v>1</v>
      </c>
      <c r="F295" s="17">
        <v>0</v>
      </c>
      <c r="G295" s="17">
        <v>1</v>
      </c>
      <c r="H295" s="17">
        <v>12</v>
      </c>
      <c r="I295" s="17" t="s">
        <v>680</v>
      </c>
      <c r="J295" s="17" t="s">
        <v>842</v>
      </c>
      <c r="K295" s="17" t="s">
        <v>895</v>
      </c>
      <c r="L295" s="17" t="s">
        <v>896</v>
      </c>
      <c r="N295" s="17" t="s">
        <v>894</v>
      </c>
    </row>
    <row r="296" spans="1:14">
      <c r="A296" s="17" t="s">
        <v>897</v>
      </c>
      <c r="B296" s="17" t="s">
        <v>705</v>
      </c>
      <c r="C296" s="17" t="str">
        <f t="shared" si="6"/>
        <v>0X56</v>
      </c>
      <c r="D296" s="17">
        <v>86</v>
      </c>
      <c r="E296" s="17">
        <v>1</v>
      </c>
      <c r="F296" s="17">
        <v>0</v>
      </c>
      <c r="G296" s="17">
        <v>1</v>
      </c>
      <c r="H296" s="17">
        <v>12</v>
      </c>
      <c r="I296" s="17" t="s">
        <v>680</v>
      </c>
      <c r="J296" s="17" t="s">
        <v>842</v>
      </c>
      <c r="K296" s="17" t="s">
        <v>897</v>
      </c>
      <c r="L296" s="17" t="s">
        <v>898</v>
      </c>
      <c r="M296" s="17" t="s">
        <v>899</v>
      </c>
      <c r="N296" s="17" t="s">
        <v>900</v>
      </c>
    </row>
    <row r="297" spans="1:14">
      <c r="A297" s="17" t="s">
        <v>901</v>
      </c>
      <c r="B297" s="17" t="s">
        <v>705</v>
      </c>
      <c r="C297" s="17" t="str">
        <f t="shared" si="6"/>
        <v>0X57</v>
      </c>
      <c r="D297" s="17">
        <v>87</v>
      </c>
      <c r="E297" s="17">
        <v>1</v>
      </c>
      <c r="F297" s="17">
        <v>0</v>
      </c>
      <c r="G297" s="17">
        <v>1</v>
      </c>
      <c r="H297" s="17">
        <v>12</v>
      </c>
      <c r="I297" s="17" t="s">
        <v>680</v>
      </c>
      <c r="J297" s="17" t="s">
        <v>842</v>
      </c>
      <c r="K297" s="17" t="s">
        <v>901</v>
      </c>
      <c r="L297" s="17" t="s">
        <v>902</v>
      </c>
      <c r="M297" s="17" t="s">
        <v>899</v>
      </c>
      <c r="N297" s="17" t="s">
        <v>900</v>
      </c>
    </row>
    <row r="298" spans="1:14">
      <c r="A298" s="17" t="s">
        <v>903</v>
      </c>
      <c r="B298" s="17" t="s">
        <v>705</v>
      </c>
      <c r="C298" s="17" t="str">
        <f t="shared" si="6"/>
        <v>0X58</v>
      </c>
      <c r="D298" s="17">
        <v>88</v>
      </c>
      <c r="E298" s="17">
        <v>1</v>
      </c>
      <c r="F298" s="17">
        <v>0</v>
      </c>
      <c r="G298" s="17">
        <v>1</v>
      </c>
      <c r="H298" s="17">
        <v>12</v>
      </c>
      <c r="I298" s="17" t="s">
        <v>680</v>
      </c>
      <c r="J298" s="17" t="s">
        <v>842</v>
      </c>
      <c r="K298" s="17" t="s">
        <v>903</v>
      </c>
      <c r="L298" s="17" t="s">
        <v>904</v>
      </c>
      <c r="M298" s="17" t="s">
        <v>905</v>
      </c>
      <c r="N298" s="17" t="s">
        <v>906</v>
      </c>
    </row>
    <row r="299" spans="1:14">
      <c r="A299" s="17" t="s">
        <v>907</v>
      </c>
      <c r="B299" s="17" t="s">
        <v>705</v>
      </c>
      <c r="C299" s="17" t="str">
        <f t="shared" si="6"/>
        <v>0X59</v>
      </c>
      <c r="D299" s="17">
        <v>89</v>
      </c>
      <c r="E299" s="17">
        <v>1</v>
      </c>
      <c r="F299" s="17">
        <v>0</v>
      </c>
      <c r="G299" s="17">
        <v>1</v>
      </c>
      <c r="H299" s="17">
        <v>12</v>
      </c>
      <c r="I299" s="17" t="s">
        <v>680</v>
      </c>
      <c r="J299" s="17" t="s">
        <v>842</v>
      </c>
      <c r="K299" s="17" t="s">
        <v>907</v>
      </c>
      <c r="L299" s="17" t="s">
        <v>908</v>
      </c>
      <c r="M299" s="17" t="s">
        <v>905</v>
      </c>
      <c r="N299" s="17" t="s">
        <v>909</v>
      </c>
    </row>
    <row r="300" spans="1:14">
      <c r="A300" s="17" t="s">
        <v>910</v>
      </c>
      <c r="B300" s="17" t="s">
        <v>705</v>
      </c>
      <c r="C300" s="17" t="str">
        <f t="shared" si="6"/>
        <v>0X5A</v>
      </c>
      <c r="D300" s="17">
        <v>90</v>
      </c>
      <c r="E300" s="17">
        <v>0</v>
      </c>
      <c r="F300" s="17">
        <v>1</v>
      </c>
      <c r="G300" s="17">
        <v>1</v>
      </c>
      <c r="H300" s="17">
        <v>12</v>
      </c>
      <c r="I300" s="17" t="s">
        <v>680</v>
      </c>
      <c r="J300" s="17" t="s">
        <v>842</v>
      </c>
      <c r="K300" s="17" t="s">
        <v>910</v>
      </c>
      <c r="L300" s="17" t="s">
        <v>911</v>
      </c>
      <c r="M300" s="17" t="s">
        <v>912</v>
      </c>
      <c r="N300" s="17" t="s">
        <v>912</v>
      </c>
    </row>
    <row r="301" spans="1:14">
      <c r="A301" s="17" t="s">
        <v>913</v>
      </c>
      <c r="B301" s="17" t="s">
        <v>705</v>
      </c>
      <c r="C301" s="17" t="str">
        <f t="shared" si="6"/>
        <v>0X5B</v>
      </c>
      <c r="D301" s="17">
        <v>91</v>
      </c>
      <c r="E301" s="17">
        <v>0</v>
      </c>
      <c r="F301" s="17">
        <v>1</v>
      </c>
      <c r="G301" s="17">
        <v>1</v>
      </c>
      <c r="H301" s="17">
        <v>3</v>
      </c>
      <c r="I301" s="17" t="s">
        <v>680</v>
      </c>
      <c r="J301" s="17" t="s">
        <v>842</v>
      </c>
      <c r="K301" s="17" t="s">
        <v>913</v>
      </c>
      <c r="L301" s="17" t="s">
        <v>914</v>
      </c>
      <c r="M301" s="17" t="s">
        <v>915</v>
      </c>
      <c r="N301" s="17" t="s">
        <v>916</v>
      </c>
    </row>
    <row r="302" spans="1:14">
      <c r="A302" s="17" t="s">
        <v>917</v>
      </c>
      <c r="B302" s="17" t="s">
        <v>705</v>
      </c>
      <c r="C302" s="17" t="str">
        <f t="shared" si="6"/>
        <v>0X5C</v>
      </c>
      <c r="D302" s="17">
        <v>92</v>
      </c>
      <c r="E302" s="17">
        <v>1</v>
      </c>
      <c r="F302" s="17">
        <v>0</v>
      </c>
      <c r="G302" s="17">
        <v>1</v>
      </c>
      <c r="H302" s="17">
        <v>12</v>
      </c>
      <c r="I302" s="17" t="s">
        <v>680</v>
      </c>
      <c r="J302" s="17" t="s">
        <v>842</v>
      </c>
      <c r="K302" s="17" t="s">
        <v>917</v>
      </c>
      <c r="L302" s="17" t="s">
        <v>918</v>
      </c>
      <c r="N302" s="17" t="s">
        <v>919</v>
      </c>
    </row>
    <row r="303" spans="1:14">
      <c r="A303" s="17" t="s">
        <v>920</v>
      </c>
      <c r="B303" s="17" t="s">
        <v>705</v>
      </c>
      <c r="C303" s="17" t="str">
        <f t="shared" si="6"/>
        <v>0X5D</v>
      </c>
      <c r="D303" s="17">
        <v>93</v>
      </c>
      <c r="E303" s="17">
        <v>1</v>
      </c>
      <c r="F303" s="17">
        <v>0</v>
      </c>
      <c r="G303" s="17">
        <v>1</v>
      </c>
      <c r="H303" s="17">
        <v>12</v>
      </c>
      <c r="I303" s="17" t="s">
        <v>680</v>
      </c>
      <c r="J303" s="17" t="s">
        <v>842</v>
      </c>
      <c r="K303" s="17" t="s">
        <v>920</v>
      </c>
      <c r="L303" s="17" t="s">
        <v>921</v>
      </c>
      <c r="N303" s="17" t="s">
        <v>922</v>
      </c>
    </row>
    <row r="304" spans="1:14">
      <c r="A304" s="17" t="s">
        <v>923</v>
      </c>
      <c r="B304" s="17" t="s">
        <v>705</v>
      </c>
      <c r="C304" s="17" t="str">
        <f t="shared" si="6"/>
        <v>0X5E</v>
      </c>
      <c r="D304" s="17">
        <v>94</v>
      </c>
      <c r="E304" s="17">
        <v>0</v>
      </c>
      <c r="F304" s="17">
        <v>1</v>
      </c>
      <c r="G304" s="17">
        <v>1</v>
      </c>
      <c r="H304" s="17">
        <v>1</v>
      </c>
      <c r="I304" s="17" t="s">
        <v>680</v>
      </c>
      <c r="J304" s="17" t="s">
        <v>842</v>
      </c>
      <c r="K304" s="17" t="s">
        <v>923</v>
      </c>
      <c r="L304" s="17" t="s">
        <v>924</v>
      </c>
      <c r="M304" s="17" t="s">
        <v>925</v>
      </c>
      <c r="N304" s="17" t="s">
        <v>926</v>
      </c>
    </row>
    <row r="305" spans="1:14">
      <c r="A305" s="17" t="s">
        <v>927</v>
      </c>
      <c r="B305" s="17" t="s">
        <v>705</v>
      </c>
      <c r="C305" s="17" t="str">
        <f t="shared" si="6"/>
        <v>0X5F</v>
      </c>
      <c r="D305" s="17">
        <v>95</v>
      </c>
      <c r="E305" s="17">
        <v>0</v>
      </c>
      <c r="F305" s="17">
        <v>1</v>
      </c>
      <c r="G305" s="17">
        <v>1</v>
      </c>
      <c r="H305" s="17">
        <v>1</v>
      </c>
      <c r="I305" s="17" t="s">
        <v>680</v>
      </c>
      <c r="J305" s="17" t="s">
        <v>842</v>
      </c>
      <c r="K305" s="17" t="s">
        <v>928</v>
      </c>
      <c r="L305" s="17" t="s">
        <v>929</v>
      </c>
      <c r="M305" s="17" t="s">
        <v>930</v>
      </c>
      <c r="N305" s="17" t="s">
        <v>931</v>
      </c>
    </row>
    <row r="306" spans="1:14">
      <c r="A306" s="17" t="s">
        <v>932</v>
      </c>
      <c r="B306" s="17" t="s">
        <v>705</v>
      </c>
      <c r="C306" s="17" t="str">
        <f t="shared" si="6"/>
        <v>0X60</v>
      </c>
      <c r="D306" s="17">
        <v>96</v>
      </c>
      <c r="E306" s="17">
        <v>0</v>
      </c>
      <c r="F306" s="17">
        <v>1</v>
      </c>
      <c r="G306" s="17">
        <v>1</v>
      </c>
      <c r="H306" s="17">
        <v>1</v>
      </c>
      <c r="I306" s="17" t="s">
        <v>680</v>
      </c>
      <c r="J306" s="17" t="s">
        <v>842</v>
      </c>
      <c r="K306" s="17" t="s">
        <v>933</v>
      </c>
      <c r="L306" s="17" t="s">
        <v>934</v>
      </c>
      <c r="M306" s="17" t="s">
        <v>935</v>
      </c>
      <c r="N306" s="17" t="s">
        <v>936</v>
      </c>
    </row>
    <row r="307" spans="1:14">
      <c r="A307" s="17" t="s">
        <v>937</v>
      </c>
      <c r="B307" s="17" t="s">
        <v>705</v>
      </c>
      <c r="C307" s="17" t="str">
        <f t="shared" si="6"/>
        <v>0X61</v>
      </c>
      <c r="D307" s="17">
        <v>97</v>
      </c>
      <c r="E307" s="17">
        <v>0</v>
      </c>
      <c r="F307" s="17">
        <v>1</v>
      </c>
      <c r="G307" s="17">
        <v>1</v>
      </c>
      <c r="H307" s="17">
        <v>1</v>
      </c>
      <c r="I307" s="17" t="s">
        <v>680</v>
      </c>
      <c r="J307" s="17" t="s">
        <v>842</v>
      </c>
      <c r="K307" s="17" t="s">
        <v>937</v>
      </c>
      <c r="L307" s="17" t="s">
        <v>938</v>
      </c>
      <c r="M307" s="17" t="s">
        <v>939</v>
      </c>
      <c r="N307" s="17" t="s">
        <v>940</v>
      </c>
    </row>
    <row r="308" spans="1:12">
      <c r="A308" s="17" t="s">
        <v>941</v>
      </c>
      <c r="B308" s="17" t="s">
        <v>705</v>
      </c>
      <c r="C308" s="17" t="str">
        <f t="shared" si="6"/>
        <v>0X62</v>
      </c>
      <c r="D308" s="17">
        <v>98</v>
      </c>
      <c r="E308" s="17">
        <v>0</v>
      </c>
      <c r="F308" s="17">
        <v>1</v>
      </c>
      <c r="G308" s="17">
        <v>1</v>
      </c>
      <c r="H308" s="17">
        <v>1</v>
      </c>
      <c r="I308" s="17" t="s">
        <v>680</v>
      </c>
      <c r="J308" s="17" t="s">
        <v>842</v>
      </c>
      <c r="K308" s="17" t="s">
        <v>941</v>
      </c>
      <c r="L308" s="17" t="s">
        <v>942</v>
      </c>
    </row>
    <row r="309" spans="1:14">
      <c r="A309" s="17" t="s">
        <v>943</v>
      </c>
      <c r="B309" s="17" t="s">
        <v>705</v>
      </c>
      <c r="C309" s="17" t="str">
        <f t="shared" si="6"/>
        <v>0X63</v>
      </c>
      <c r="D309" s="17">
        <v>99</v>
      </c>
      <c r="E309" s="17">
        <v>0</v>
      </c>
      <c r="F309" s="17">
        <v>1</v>
      </c>
      <c r="G309" s="17">
        <v>1</v>
      </c>
      <c r="H309" s="17">
        <v>1</v>
      </c>
      <c r="I309" s="17" t="s">
        <v>680</v>
      </c>
      <c r="J309" s="17" t="s">
        <v>842</v>
      </c>
      <c r="K309" s="17" t="s">
        <v>944</v>
      </c>
      <c r="L309" s="17" t="s">
        <v>945</v>
      </c>
      <c r="M309" s="17" t="s">
        <v>946</v>
      </c>
      <c r="N309" s="17" t="s">
        <v>947</v>
      </c>
    </row>
    <row r="310" spans="1:14">
      <c r="A310" s="17" t="s">
        <v>948</v>
      </c>
      <c r="B310" s="17" t="s">
        <v>705</v>
      </c>
      <c r="C310" s="17" t="str">
        <f t="shared" si="6"/>
        <v>0X64</v>
      </c>
      <c r="D310" s="17">
        <v>100</v>
      </c>
      <c r="E310" s="17">
        <v>0</v>
      </c>
      <c r="F310" s="17">
        <v>1</v>
      </c>
      <c r="G310" s="17">
        <v>1</v>
      </c>
      <c r="H310" s="17">
        <v>1</v>
      </c>
      <c r="I310" s="17" t="s">
        <v>680</v>
      </c>
      <c r="J310" s="17" t="s">
        <v>842</v>
      </c>
      <c r="K310" s="17" t="s">
        <v>949</v>
      </c>
      <c r="L310" s="17" t="s">
        <v>950</v>
      </c>
      <c r="M310" s="17" t="s">
        <v>951</v>
      </c>
      <c r="N310" s="17" t="s">
        <v>952</v>
      </c>
    </row>
    <row r="311" spans="1:14">
      <c r="A311" s="17" t="s">
        <v>953</v>
      </c>
      <c r="B311" s="17" t="s">
        <v>705</v>
      </c>
      <c r="C311" s="17" t="str">
        <f t="shared" si="6"/>
        <v>0X65</v>
      </c>
      <c r="D311" s="17">
        <v>101</v>
      </c>
      <c r="E311" s="17">
        <v>0</v>
      </c>
      <c r="F311" s="17">
        <v>1</v>
      </c>
      <c r="G311" s="17">
        <v>1</v>
      </c>
      <c r="H311" s="17">
        <v>1</v>
      </c>
      <c r="I311" s="17" t="s">
        <v>680</v>
      </c>
      <c r="J311" s="17" t="s">
        <v>842</v>
      </c>
      <c r="K311" s="17" t="s">
        <v>953</v>
      </c>
      <c r="L311" s="17" t="s">
        <v>954</v>
      </c>
      <c r="M311" s="17" t="s">
        <v>955</v>
      </c>
      <c r="N311" s="17" t="s">
        <v>956</v>
      </c>
    </row>
    <row r="312" spans="1:12">
      <c r="A312" s="17" t="s">
        <v>957</v>
      </c>
      <c r="B312" s="17" t="s">
        <v>705</v>
      </c>
      <c r="C312" s="17" t="str">
        <f t="shared" si="6"/>
        <v>0X66</v>
      </c>
      <c r="D312" s="17">
        <v>102</v>
      </c>
      <c r="E312" s="17">
        <v>0</v>
      </c>
      <c r="F312" s="17">
        <v>1</v>
      </c>
      <c r="G312" s="17">
        <v>1</v>
      </c>
      <c r="H312" s="17">
        <v>14</v>
      </c>
      <c r="I312" s="17" t="s">
        <v>680</v>
      </c>
      <c r="J312" s="17" t="s">
        <v>842</v>
      </c>
      <c r="K312" s="17" t="s">
        <v>957</v>
      </c>
      <c r="L312" s="17" t="s">
        <v>958</v>
      </c>
    </row>
    <row r="313" spans="1:14">
      <c r="A313" s="17" t="s">
        <v>959</v>
      </c>
      <c r="B313" s="17" t="s">
        <v>705</v>
      </c>
      <c r="C313" s="17" t="str">
        <f t="shared" si="6"/>
        <v>0X67</v>
      </c>
      <c r="D313" s="17">
        <v>103</v>
      </c>
      <c r="E313" s="17">
        <v>0</v>
      </c>
      <c r="F313" s="17">
        <v>1</v>
      </c>
      <c r="G313" s="17">
        <v>1</v>
      </c>
      <c r="H313" s="17">
        <v>16</v>
      </c>
      <c r="I313" s="17" t="s">
        <v>680</v>
      </c>
      <c r="J313" s="17" t="s">
        <v>842</v>
      </c>
      <c r="K313" s="17" t="s">
        <v>959</v>
      </c>
      <c r="L313" s="17" t="s">
        <v>960</v>
      </c>
      <c r="M313" s="17" t="s">
        <v>961</v>
      </c>
      <c r="N313" s="17" t="s">
        <v>962</v>
      </c>
    </row>
    <row r="314" spans="1:14">
      <c r="A314" s="17" t="s">
        <v>963</v>
      </c>
      <c r="B314" s="17" t="s">
        <v>705</v>
      </c>
      <c r="C314" s="17" t="str">
        <f t="shared" si="6"/>
        <v>0X68</v>
      </c>
      <c r="D314" s="17">
        <v>104</v>
      </c>
      <c r="E314" s="17">
        <v>0</v>
      </c>
      <c r="F314" s="17">
        <v>1</v>
      </c>
      <c r="G314" s="17">
        <v>1</v>
      </c>
      <c r="H314" s="17">
        <v>16</v>
      </c>
      <c r="I314" s="17" t="s">
        <v>680</v>
      </c>
      <c r="J314" s="17" t="s">
        <v>842</v>
      </c>
      <c r="K314" s="17" t="s">
        <v>963</v>
      </c>
      <c r="L314" s="17" t="s">
        <v>964</v>
      </c>
      <c r="M314" s="17" t="s">
        <v>965</v>
      </c>
      <c r="N314" s="17" t="s">
        <v>966</v>
      </c>
    </row>
    <row r="315" spans="1:12">
      <c r="A315" s="17" t="s">
        <v>967</v>
      </c>
      <c r="B315" s="17" t="s">
        <v>705</v>
      </c>
      <c r="C315" s="17" t="str">
        <f t="shared" si="6"/>
        <v>0X69</v>
      </c>
      <c r="D315" s="17">
        <v>105</v>
      </c>
      <c r="E315" s="17">
        <v>0</v>
      </c>
      <c r="F315" s="17">
        <v>1</v>
      </c>
      <c r="G315" s="17">
        <v>1</v>
      </c>
      <c r="H315" s="17">
        <v>16</v>
      </c>
      <c r="I315" s="17" t="s">
        <v>680</v>
      </c>
      <c r="J315" s="17" t="s">
        <v>842</v>
      </c>
      <c r="K315" s="17" t="s">
        <v>967</v>
      </c>
      <c r="L315" s="17" t="s">
        <v>968</v>
      </c>
    </row>
    <row r="316" spans="1:12">
      <c r="A316" s="17" t="s">
        <v>969</v>
      </c>
      <c r="B316" s="17" t="s">
        <v>705</v>
      </c>
      <c r="C316" s="17" t="str">
        <f t="shared" si="6"/>
        <v>0X6A</v>
      </c>
      <c r="D316" s="17">
        <v>106</v>
      </c>
      <c r="E316" s="17">
        <v>0</v>
      </c>
      <c r="F316" s="17">
        <v>1</v>
      </c>
      <c r="G316" s="17">
        <v>1</v>
      </c>
      <c r="H316" s="17">
        <v>16</v>
      </c>
      <c r="I316" s="17" t="s">
        <v>680</v>
      </c>
      <c r="J316" s="17" t="s">
        <v>842</v>
      </c>
      <c r="K316" s="17" t="s">
        <v>969</v>
      </c>
      <c r="L316" s="17" t="s">
        <v>970</v>
      </c>
    </row>
    <row r="317" spans="1:14">
      <c r="A317" s="17" t="s">
        <v>971</v>
      </c>
      <c r="B317" s="17" t="s">
        <v>705</v>
      </c>
      <c r="C317" s="17" t="str">
        <f t="shared" si="6"/>
        <v>0X6B</v>
      </c>
      <c r="D317" s="17">
        <v>107</v>
      </c>
      <c r="E317" s="17">
        <v>0</v>
      </c>
      <c r="F317" s="17">
        <v>1</v>
      </c>
      <c r="G317" s="17">
        <v>1</v>
      </c>
      <c r="H317" s="17">
        <v>5</v>
      </c>
      <c r="I317" s="17" t="s">
        <v>680</v>
      </c>
      <c r="J317" s="17" t="s">
        <v>842</v>
      </c>
      <c r="K317" s="17" t="s">
        <v>971</v>
      </c>
      <c r="L317" s="17" t="s">
        <v>972</v>
      </c>
      <c r="M317" s="17" t="s">
        <v>973</v>
      </c>
      <c r="N317" s="17" t="s">
        <v>974</v>
      </c>
    </row>
    <row r="318" spans="1:14">
      <c r="A318" s="17" t="s">
        <v>975</v>
      </c>
      <c r="B318" s="17" t="s">
        <v>705</v>
      </c>
      <c r="C318" s="17" t="str">
        <f t="shared" si="6"/>
        <v>0X6C</v>
      </c>
      <c r="D318" s="17">
        <v>108</v>
      </c>
      <c r="E318" s="17">
        <v>0</v>
      </c>
      <c r="F318" s="17">
        <v>1</v>
      </c>
      <c r="G318" s="17">
        <v>1</v>
      </c>
      <c r="H318" s="17">
        <v>5</v>
      </c>
      <c r="I318" s="17" t="s">
        <v>680</v>
      </c>
      <c r="J318" s="17" t="s">
        <v>842</v>
      </c>
      <c r="K318" s="17" t="s">
        <v>975</v>
      </c>
      <c r="L318" s="17" t="s">
        <v>976</v>
      </c>
      <c r="M318" s="17" t="s">
        <v>977</v>
      </c>
      <c r="N318" s="17" t="s">
        <v>978</v>
      </c>
    </row>
    <row r="319" s="15" customFormat="1" spans="1:13">
      <c r="A319" s="15" t="s">
        <v>979</v>
      </c>
      <c r="B319" s="15" t="s">
        <v>679</v>
      </c>
      <c r="C319" s="15" t="str">
        <f t="shared" si="6"/>
        <v>0X6D</v>
      </c>
      <c r="D319" s="15">
        <v>109</v>
      </c>
      <c r="E319" s="15">
        <v>0</v>
      </c>
      <c r="F319" s="15">
        <v>1</v>
      </c>
      <c r="G319" s="15">
        <v>1</v>
      </c>
      <c r="H319" s="15">
        <v>1</v>
      </c>
      <c r="I319" s="15" t="s">
        <v>680</v>
      </c>
      <c r="J319" s="15" t="s">
        <v>980</v>
      </c>
      <c r="K319" s="15" t="s">
        <v>979</v>
      </c>
      <c r="L319" s="15" t="s">
        <v>981</v>
      </c>
      <c r="M319" s="15" t="s">
        <v>35</v>
      </c>
    </row>
    <row r="320" s="16" customFormat="1" spans="1:13">
      <c r="A320" s="26" t="s">
        <v>982</v>
      </c>
      <c r="B320" s="16" t="s">
        <v>679</v>
      </c>
      <c r="C320" s="16" t="s">
        <v>983</v>
      </c>
      <c r="D320" s="16">
        <v>110</v>
      </c>
      <c r="E320" s="16">
        <v>0</v>
      </c>
      <c r="F320" s="16">
        <v>1</v>
      </c>
      <c r="G320" s="16">
        <v>1</v>
      </c>
      <c r="H320" s="16">
        <v>16</v>
      </c>
      <c r="I320" s="16" t="s">
        <v>680</v>
      </c>
      <c r="J320" s="16" t="s">
        <v>980</v>
      </c>
      <c r="K320" s="26" t="s">
        <v>982</v>
      </c>
      <c r="L320" s="26" t="s">
        <v>982</v>
      </c>
      <c r="M320" s="16" t="s">
        <v>984</v>
      </c>
    </row>
    <row r="321" s="16" customFormat="1" spans="1:13">
      <c r="A321" s="26" t="s">
        <v>985</v>
      </c>
      <c r="B321" s="16" t="s">
        <v>679</v>
      </c>
      <c r="C321" s="16" t="s">
        <v>986</v>
      </c>
      <c r="D321" s="16">
        <v>111</v>
      </c>
      <c r="E321" s="16">
        <v>0</v>
      </c>
      <c r="F321" s="16">
        <v>1</v>
      </c>
      <c r="G321" s="16">
        <v>1</v>
      </c>
      <c r="H321" s="16">
        <v>16</v>
      </c>
      <c r="I321" s="16" t="s">
        <v>680</v>
      </c>
      <c r="J321" s="16" t="s">
        <v>980</v>
      </c>
      <c r="K321" s="26" t="s">
        <v>985</v>
      </c>
      <c r="L321" s="26" t="s">
        <v>985</v>
      </c>
      <c r="M321" s="16" t="s">
        <v>984</v>
      </c>
    </row>
    <row r="322" s="16" customFormat="1" spans="1:14">
      <c r="A322" s="26" t="s">
        <v>637</v>
      </c>
      <c r="B322" s="16" t="s">
        <v>679</v>
      </c>
      <c r="C322" s="16" t="s">
        <v>987</v>
      </c>
      <c r="D322" s="16">
        <v>112</v>
      </c>
      <c r="E322" s="16">
        <v>0</v>
      </c>
      <c r="F322" s="16">
        <v>1</v>
      </c>
      <c r="G322" s="16">
        <v>1</v>
      </c>
      <c r="H322" s="16">
        <v>1</v>
      </c>
      <c r="I322" s="16" t="s">
        <v>680</v>
      </c>
      <c r="J322" s="16" t="s">
        <v>980</v>
      </c>
      <c r="K322" s="26" t="s">
        <v>637</v>
      </c>
      <c r="L322" s="26" t="s">
        <v>637</v>
      </c>
      <c r="M322" s="16" t="s">
        <v>35</v>
      </c>
      <c r="N322" s="17" t="s">
        <v>988</v>
      </c>
    </row>
    <row r="323" s="15" customFormat="1" spans="1:14">
      <c r="A323" s="15" t="s">
        <v>989</v>
      </c>
      <c r="B323" s="15" t="s">
        <v>679</v>
      </c>
      <c r="C323" s="15" t="str">
        <f t="shared" ref="C323:C338" si="7">CONCATENATE("0X",DEC2HEX(D323))</f>
        <v>0X71</v>
      </c>
      <c r="D323" s="15">
        <v>113</v>
      </c>
      <c r="E323" s="15">
        <v>0</v>
      </c>
      <c r="F323" s="15">
        <v>1</v>
      </c>
      <c r="G323" s="15">
        <v>1</v>
      </c>
      <c r="H323" s="15">
        <v>1</v>
      </c>
      <c r="I323" s="15" t="s">
        <v>680</v>
      </c>
      <c r="J323" s="15" t="s">
        <v>980</v>
      </c>
      <c r="K323" s="15" t="s">
        <v>989</v>
      </c>
      <c r="L323" s="15" t="s">
        <v>990</v>
      </c>
      <c r="M323" s="15" t="s">
        <v>35</v>
      </c>
      <c r="N323" s="15" t="s">
        <v>991</v>
      </c>
    </row>
    <row r="324" s="15" customFormat="1" spans="1:14">
      <c r="A324" s="15" t="s">
        <v>992</v>
      </c>
      <c r="B324" s="15" t="s">
        <v>679</v>
      </c>
      <c r="C324" s="15" t="str">
        <f t="shared" si="7"/>
        <v>0X72</v>
      </c>
      <c r="D324" s="15">
        <v>114</v>
      </c>
      <c r="E324" s="15">
        <v>0</v>
      </c>
      <c r="F324" s="15">
        <v>1</v>
      </c>
      <c r="G324" s="15">
        <v>1</v>
      </c>
      <c r="H324" s="15">
        <v>1</v>
      </c>
      <c r="I324" s="15" t="s">
        <v>680</v>
      </c>
      <c r="J324" s="15" t="s">
        <v>980</v>
      </c>
      <c r="K324" s="15" t="s">
        <v>992</v>
      </c>
      <c r="L324" s="15" t="s">
        <v>993</v>
      </c>
      <c r="M324" s="15" t="s">
        <v>994</v>
      </c>
      <c r="N324" s="15" t="s">
        <v>19</v>
      </c>
    </row>
    <row r="325" s="15" customFormat="1" spans="1:14">
      <c r="A325" s="15" t="s">
        <v>995</v>
      </c>
      <c r="B325" s="15" t="s">
        <v>679</v>
      </c>
      <c r="C325" s="15" t="str">
        <f t="shared" si="7"/>
        <v>0X73</v>
      </c>
      <c r="D325" s="15">
        <v>115</v>
      </c>
      <c r="E325" s="15">
        <v>0</v>
      </c>
      <c r="F325" s="15">
        <v>1</v>
      </c>
      <c r="G325" s="15">
        <v>1</v>
      </c>
      <c r="H325" s="15">
        <v>1</v>
      </c>
      <c r="I325" s="15" t="s">
        <v>680</v>
      </c>
      <c r="J325" s="15" t="s">
        <v>980</v>
      </c>
      <c r="K325" s="15" t="s">
        <v>995</v>
      </c>
      <c r="L325" s="15" t="s">
        <v>996</v>
      </c>
      <c r="M325" s="15" t="s">
        <v>18</v>
      </c>
      <c r="N325" s="15" t="s">
        <v>19</v>
      </c>
    </row>
    <row r="326" s="15" customFormat="1" spans="1:19">
      <c r="A326" s="15" t="s">
        <v>997</v>
      </c>
      <c r="B326" s="15" t="s">
        <v>679</v>
      </c>
      <c r="C326" s="15" t="str">
        <f t="shared" si="7"/>
        <v>0X74</v>
      </c>
      <c r="D326" s="15">
        <v>116</v>
      </c>
      <c r="E326" s="15">
        <v>0</v>
      </c>
      <c r="F326" s="15">
        <v>1</v>
      </c>
      <c r="G326" s="15">
        <v>1</v>
      </c>
      <c r="H326" s="15">
        <v>3</v>
      </c>
      <c r="I326" s="15" t="s">
        <v>680</v>
      </c>
      <c r="J326" s="15" t="s">
        <v>980</v>
      </c>
      <c r="K326" s="15" t="s">
        <v>997</v>
      </c>
      <c r="L326" s="15" t="s">
        <v>997</v>
      </c>
      <c r="M326" s="15" t="s">
        <v>998</v>
      </c>
      <c r="N326" s="15" t="s">
        <v>999</v>
      </c>
      <c r="S326" s="15" t="s">
        <v>1000</v>
      </c>
    </row>
    <row r="327" s="15" customFormat="1" spans="1:19">
      <c r="A327" s="15" t="s">
        <v>1001</v>
      </c>
      <c r="B327" s="15" t="s">
        <v>679</v>
      </c>
      <c r="C327" s="15" t="str">
        <f t="shared" si="7"/>
        <v>0X75</v>
      </c>
      <c r="D327" s="15">
        <v>117</v>
      </c>
      <c r="E327" s="15">
        <v>0</v>
      </c>
      <c r="F327" s="15">
        <v>1</v>
      </c>
      <c r="G327" s="15">
        <v>1</v>
      </c>
      <c r="H327" s="15">
        <v>1</v>
      </c>
      <c r="I327" s="15" t="s">
        <v>680</v>
      </c>
      <c r="J327" s="15" t="s">
        <v>980</v>
      </c>
      <c r="K327" s="15" t="s">
        <v>1001</v>
      </c>
      <c r="L327" s="15" t="s">
        <v>1002</v>
      </c>
      <c r="M327" s="15" t="s">
        <v>35</v>
      </c>
      <c r="N327" s="15" t="s">
        <v>999</v>
      </c>
      <c r="S327" s="15" t="s">
        <v>1003</v>
      </c>
    </row>
    <row r="328" s="15" customFormat="1" spans="1:19">
      <c r="A328" s="15" t="s">
        <v>1004</v>
      </c>
      <c r="B328" s="15" t="s">
        <v>679</v>
      </c>
      <c r="C328" s="15" t="str">
        <f t="shared" si="7"/>
        <v>0X76</v>
      </c>
      <c r="D328" s="15">
        <v>118</v>
      </c>
      <c r="E328" s="15">
        <v>0</v>
      </c>
      <c r="F328" s="15">
        <v>1</v>
      </c>
      <c r="G328" s="15">
        <v>1</v>
      </c>
      <c r="H328" s="15">
        <v>5</v>
      </c>
      <c r="I328" s="15" t="s">
        <v>680</v>
      </c>
      <c r="J328" s="15" t="s">
        <v>980</v>
      </c>
      <c r="K328" s="15" t="s">
        <v>1004</v>
      </c>
      <c r="L328" s="15" t="s">
        <v>1004</v>
      </c>
      <c r="M328" s="15" t="s">
        <v>1005</v>
      </c>
      <c r="N328" s="15" t="s">
        <v>999</v>
      </c>
      <c r="S328" s="15" t="s">
        <v>1006</v>
      </c>
    </row>
    <row r="329" s="15" customFormat="1" spans="1:19">
      <c r="A329" s="15" t="s">
        <v>1007</v>
      </c>
      <c r="B329" s="15" t="s">
        <v>679</v>
      </c>
      <c r="C329" s="15" t="str">
        <f t="shared" si="7"/>
        <v>0X77</v>
      </c>
      <c r="D329" s="15">
        <v>119</v>
      </c>
      <c r="E329" s="15">
        <v>0</v>
      </c>
      <c r="F329" s="15">
        <v>1</v>
      </c>
      <c r="G329" s="15">
        <v>1</v>
      </c>
      <c r="H329" s="15">
        <v>16</v>
      </c>
      <c r="I329" s="15" t="s">
        <v>680</v>
      </c>
      <c r="J329" s="15" t="s">
        <v>980</v>
      </c>
      <c r="K329" s="15" t="s">
        <v>1007</v>
      </c>
      <c r="L329" s="15" t="s">
        <v>1007</v>
      </c>
      <c r="M329" s="15" t="s">
        <v>1008</v>
      </c>
      <c r="N329" s="15" t="s">
        <v>999</v>
      </c>
      <c r="S329" s="15" t="s">
        <v>1009</v>
      </c>
    </row>
    <row r="330" s="15" customFormat="1" spans="1:19">
      <c r="A330" s="15" t="s">
        <v>1010</v>
      </c>
      <c r="B330" s="15" t="s">
        <v>679</v>
      </c>
      <c r="C330" s="15" t="str">
        <f t="shared" si="7"/>
        <v>0X78</v>
      </c>
      <c r="D330" s="15">
        <v>120</v>
      </c>
      <c r="E330" s="15">
        <v>0</v>
      </c>
      <c r="F330" s="15">
        <v>1</v>
      </c>
      <c r="G330" s="15">
        <v>1</v>
      </c>
      <c r="H330" s="15">
        <v>16</v>
      </c>
      <c r="I330" s="15" t="s">
        <v>680</v>
      </c>
      <c r="J330" s="15" t="s">
        <v>980</v>
      </c>
      <c r="K330" s="15" t="s">
        <v>1010</v>
      </c>
      <c r="L330" s="15" t="s">
        <v>1010</v>
      </c>
      <c r="M330" s="15" t="s">
        <v>1011</v>
      </c>
      <c r="N330" s="15" t="s">
        <v>999</v>
      </c>
      <c r="S330" s="15" t="s">
        <v>1012</v>
      </c>
    </row>
    <row r="331" s="15" customFormat="1" spans="1:19">
      <c r="A331" s="15" t="s">
        <v>1013</v>
      </c>
      <c r="B331" s="15" t="s">
        <v>679</v>
      </c>
      <c r="C331" s="15" t="str">
        <f t="shared" si="7"/>
        <v>0X79</v>
      </c>
      <c r="D331" s="15">
        <v>121</v>
      </c>
      <c r="E331" s="15">
        <v>0</v>
      </c>
      <c r="F331" s="15">
        <v>1</v>
      </c>
      <c r="G331" s="15">
        <v>1</v>
      </c>
      <c r="H331" s="15">
        <v>11</v>
      </c>
      <c r="I331" s="15" t="s">
        <v>680</v>
      </c>
      <c r="J331" s="15" t="s">
        <v>980</v>
      </c>
      <c r="K331" s="15" t="s">
        <v>1013</v>
      </c>
      <c r="L331" s="15" t="s">
        <v>1013</v>
      </c>
      <c r="M331" s="15" t="s">
        <v>1014</v>
      </c>
      <c r="N331" s="15" t="s">
        <v>999</v>
      </c>
      <c r="S331" s="15" t="s">
        <v>950</v>
      </c>
    </row>
    <row r="332" s="15" customFormat="1" spans="1:19">
      <c r="A332" s="15" t="s">
        <v>1015</v>
      </c>
      <c r="B332" s="15" t="s">
        <v>679</v>
      </c>
      <c r="C332" s="15" t="str">
        <f t="shared" si="7"/>
        <v>0X7A</v>
      </c>
      <c r="D332" s="15">
        <v>122</v>
      </c>
      <c r="E332" s="15">
        <v>0</v>
      </c>
      <c r="F332" s="15">
        <v>1</v>
      </c>
      <c r="G332" s="15">
        <v>1</v>
      </c>
      <c r="H332" s="15">
        <v>5</v>
      </c>
      <c r="I332" s="15" t="s">
        <v>680</v>
      </c>
      <c r="J332" s="15" t="s">
        <v>980</v>
      </c>
      <c r="K332" s="15" t="s">
        <v>1015</v>
      </c>
      <c r="L332" s="15" t="s">
        <v>1015</v>
      </c>
      <c r="M332" s="15" t="s">
        <v>1016</v>
      </c>
      <c r="N332" s="15" t="s">
        <v>1017</v>
      </c>
      <c r="S332" s="15" t="s">
        <v>1018</v>
      </c>
    </row>
    <row r="333" s="15" customFormat="1" spans="1:19">
      <c r="A333" s="15" t="s">
        <v>1019</v>
      </c>
      <c r="B333" s="15" t="s">
        <v>679</v>
      </c>
      <c r="C333" s="15" t="str">
        <f t="shared" si="7"/>
        <v>0X7B</v>
      </c>
      <c r="D333" s="15">
        <v>123</v>
      </c>
      <c r="E333" s="15">
        <v>0</v>
      </c>
      <c r="F333" s="15">
        <v>1</v>
      </c>
      <c r="G333" s="15">
        <v>1</v>
      </c>
      <c r="H333" s="15">
        <v>16</v>
      </c>
      <c r="I333" s="15" t="s">
        <v>680</v>
      </c>
      <c r="J333" s="15" t="s">
        <v>980</v>
      </c>
      <c r="K333" s="15" t="s">
        <v>1019</v>
      </c>
      <c r="L333" s="15" t="s">
        <v>1019</v>
      </c>
      <c r="M333" s="15" t="s">
        <v>1020</v>
      </c>
      <c r="S333" s="15" t="s">
        <v>1021</v>
      </c>
    </row>
    <row r="334" s="15" customFormat="1" spans="1:19">
      <c r="A334" s="15" t="s">
        <v>1022</v>
      </c>
      <c r="B334" s="15" t="s">
        <v>679</v>
      </c>
      <c r="C334" s="15" t="str">
        <f t="shared" si="7"/>
        <v>0X7C</v>
      </c>
      <c r="D334" s="15">
        <v>124</v>
      </c>
      <c r="E334" s="15">
        <v>0</v>
      </c>
      <c r="F334" s="15">
        <v>1</v>
      </c>
      <c r="G334" s="15">
        <v>1</v>
      </c>
      <c r="H334" s="15">
        <v>16</v>
      </c>
      <c r="I334" s="15" t="s">
        <v>680</v>
      </c>
      <c r="J334" s="15" t="s">
        <v>980</v>
      </c>
      <c r="K334" s="15" t="s">
        <v>1022</v>
      </c>
      <c r="L334" s="15" t="s">
        <v>1023</v>
      </c>
      <c r="M334" s="15" t="s">
        <v>984</v>
      </c>
      <c r="S334" s="15" t="s">
        <v>1024</v>
      </c>
    </row>
    <row r="335" s="15" customFormat="1" spans="1:19">
      <c r="A335" s="15" t="s">
        <v>1025</v>
      </c>
      <c r="B335" s="15" t="s">
        <v>679</v>
      </c>
      <c r="C335" s="15" t="str">
        <f t="shared" si="7"/>
        <v>0X7D</v>
      </c>
      <c r="D335" s="15">
        <v>125</v>
      </c>
      <c r="E335" s="15">
        <v>0</v>
      </c>
      <c r="F335" s="15">
        <v>1</v>
      </c>
      <c r="G335" s="15">
        <v>1</v>
      </c>
      <c r="H335" s="15">
        <v>5</v>
      </c>
      <c r="I335" s="15" t="s">
        <v>680</v>
      </c>
      <c r="J335" s="15" t="s">
        <v>980</v>
      </c>
      <c r="K335" s="15" t="s">
        <v>1025</v>
      </c>
      <c r="L335" s="15" t="s">
        <v>1026</v>
      </c>
      <c r="M335" s="15" t="s">
        <v>1027</v>
      </c>
      <c r="S335" s="15" t="s">
        <v>1028</v>
      </c>
    </row>
    <row r="336" spans="1:19">
      <c r="A336" s="17" t="s">
        <v>1029</v>
      </c>
      <c r="B336" s="17" t="s">
        <v>679</v>
      </c>
      <c r="C336" s="17" t="str">
        <f t="shared" si="7"/>
        <v>0X7E</v>
      </c>
      <c r="D336" s="17">
        <v>126</v>
      </c>
      <c r="E336" s="17">
        <v>0</v>
      </c>
      <c r="F336" s="17">
        <v>1</v>
      </c>
      <c r="G336" s="17">
        <v>0</v>
      </c>
      <c r="H336" s="17">
        <v>9</v>
      </c>
      <c r="I336" s="17" t="s">
        <v>680</v>
      </c>
      <c r="J336" s="17" t="s">
        <v>493</v>
      </c>
      <c r="K336" s="17" t="s">
        <v>1029</v>
      </c>
      <c r="L336" s="17" t="s">
        <v>494</v>
      </c>
      <c r="M336" s="17" t="s">
        <v>495</v>
      </c>
      <c r="N336" s="17" t="s">
        <v>496</v>
      </c>
      <c r="S336" s="17" t="s">
        <v>1030</v>
      </c>
    </row>
    <row r="337" spans="1:19">
      <c r="A337" s="17" t="s">
        <v>1031</v>
      </c>
      <c r="B337" s="17" t="s">
        <v>679</v>
      </c>
      <c r="C337" s="17" t="str">
        <f t="shared" si="7"/>
        <v>0XE6</v>
      </c>
      <c r="D337" s="17">
        <v>230</v>
      </c>
      <c r="E337" s="17">
        <v>1</v>
      </c>
      <c r="F337" s="17">
        <v>0</v>
      </c>
      <c r="G337" s="17">
        <v>0</v>
      </c>
      <c r="H337" s="17">
        <v>16</v>
      </c>
      <c r="I337" s="17" t="s">
        <v>680</v>
      </c>
      <c r="J337" s="17" t="s">
        <v>493</v>
      </c>
      <c r="K337" s="17" t="s">
        <v>1031</v>
      </c>
      <c r="L337" s="17" t="s">
        <v>498</v>
      </c>
      <c r="M337" s="17" t="s">
        <v>495</v>
      </c>
      <c r="N337" s="17" t="s">
        <v>496</v>
      </c>
      <c r="S337" s="17" t="s">
        <v>1032</v>
      </c>
    </row>
    <row r="338" spans="1:19">
      <c r="A338" s="17" t="s">
        <v>1033</v>
      </c>
      <c r="B338" s="17" t="s">
        <v>679</v>
      </c>
      <c r="C338" s="17" t="str">
        <f t="shared" si="7"/>
        <v>0XE7</v>
      </c>
      <c r="D338" s="17">
        <v>231</v>
      </c>
      <c r="E338" s="17">
        <v>1</v>
      </c>
      <c r="F338" s="17">
        <v>0</v>
      </c>
      <c r="G338" s="17">
        <v>0</v>
      </c>
      <c r="H338" s="17">
        <v>16</v>
      </c>
      <c r="I338" s="17" t="s">
        <v>680</v>
      </c>
      <c r="J338" s="17" t="s">
        <v>500</v>
      </c>
      <c r="K338" s="17" t="s">
        <v>1033</v>
      </c>
      <c r="L338" s="17" t="s">
        <v>501</v>
      </c>
      <c r="M338" s="17" t="s">
        <v>502</v>
      </c>
      <c r="N338" s="17" t="s">
        <v>503</v>
      </c>
      <c r="S338" s="17" t="s">
        <v>1034</v>
      </c>
    </row>
    <row r="339" spans="1:19">
      <c r="A339" s="17" t="s">
        <v>1035</v>
      </c>
      <c r="B339" s="17" t="s">
        <v>679</v>
      </c>
      <c r="C339" s="17" t="str">
        <f t="shared" ref="C339:C399" si="8">CONCATENATE("0X",DEC2HEX(D339))</f>
        <v>0XE8</v>
      </c>
      <c r="D339" s="17">
        <v>232</v>
      </c>
      <c r="E339" s="17">
        <v>1</v>
      </c>
      <c r="F339" s="17">
        <v>0</v>
      </c>
      <c r="G339" s="17">
        <v>0</v>
      </c>
      <c r="H339" s="17">
        <v>16</v>
      </c>
      <c r="I339" s="17" t="s">
        <v>680</v>
      </c>
      <c r="J339" s="17" t="s">
        <v>500</v>
      </c>
      <c r="K339" s="17" t="s">
        <v>1035</v>
      </c>
      <c r="L339" s="17" t="s">
        <v>505</v>
      </c>
      <c r="M339" s="17" t="s">
        <v>502</v>
      </c>
      <c r="N339" s="17" t="s">
        <v>503</v>
      </c>
      <c r="S339" s="17" t="s">
        <v>1036</v>
      </c>
    </row>
    <row r="340" spans="1:14">
      <c r="A340" s="17" t="s">
        <v>1037</v>
      </c>
      <c r="B340" s="17" t="s">
        <v>679</v>
      </c>
      <c r="C340" s="17" t="str">
        <f t="shared" si="8"/>
        <v>0XE9</v>
      </c>
      <c r="D340" s="17">
        <v>233</v>
      </c>
      <c r="E340" s="17">
        <v>1</v>
      </c>
      <c r="F340" s="17">
        <v>0</v>
      </c>
      <c r="G340" s="17">
        <v>0</v>
      </c>
      <c r="H340" s="17">
        <v>16</v>
      </c>
      <c r="I340" s="17" t="s">
        <v>680</v>
      </c>
      <c r="J340" s="17" t="s">
        <v>500</v>
      </c>
      <c r="K340" s="17" t="s">
        <v>1037</v>
      </c>
      <c r="L340" s="17" t="s">
        <v>507</v>
      </c>
      <c r="M340" s="17" t="s">
        <v>502</v>
      </c>
      <c r="N340" s="17" t="s">
        <v>503</v>
      </c>
    </row>
    <row r="341" spans="1:14">
      <c r="A341" s="17" t="s">
        <v>1038</v>
      </c>
      <c r="B341" s="17" t="s">
        <v>679</v>
      </c>
      <c r="C341" s="17" t="str">
        <f t="shared" si="8"/>
        <v>0XEA</v>
      </c>
      <c r="D341" s="17">
        <v>234</v>
      </c>
      <c r="E341" s="17">
        <v>1</v>
      </c>
      <c r="F341" s="17">
        <v>0</v>
      </c>
      <c r="G341" s="17">
        <v>0</v>
      </c>
      <c r="H341" s="17">
        <v>16</v>
      </c>
      <c r="I341" s="17" t="s">
        <v>680</v>
      </c>
      <c r="J341" s="17" t="s">
        <v>500</v>
      </c>
      <c r="K341" s="17" t="s">
        <v>1038</v>
      </c>
      <c r="L341" s="17" t="s">
        <v>509</v>
      </c>
      <c r="M341" s="17" t="s">
        <v>502</v>
      </c>
      <c r="N341" s="17" t="s">
        <v>503</v>
      </c>
    </row>
    <row r="342" spans="1:14">
      <c r="A342" s="17" t="s">
        <v>1039</v>
      </c>
      <c r="B342" s="17" t="s">
        <v>679</v>
      </c>
      <c r="C342" s="17" t="str">
        <f t="shared" si="8"/>
        <v>0XEB</v>
      </c>
      <c r="D342" s="17">
        <v>235</v>
      </c>
      <c r="E342" s="17">
        <v>1</v>
      </c>
      <c r="F342" s="17">
        <v>0</v>
      </c>
      <c r="G342" s="17">
        <v>0</v>
      </c>
      <c r="H342" s="17">
        <v>16</v>
      </c>
      <c r="I342" s="17" t="s">
        <v>680</v>
      </c>
      <c r="J342" s="17" t="s">
        <v>500</v>
      </c>
      <c r="K342" s="17" t="s">
        <v>1039</v>
      </c>
      <c r="L342" s="17" t="s">
        <v>511</v>
      </c>
      <c r="M342" s="17" t="s">
        <v>502</v>
      </c>
      <c r="N342" s="17" t="s">
        <v>503</v>
      </c>
    </row>
    <row r="343" spans="1:14">
      <c r="A343" s="17" t="s">
        <v>1040</v>
      </c>
      <c r="B343" s="17" t="s">
        <v>679</v>
      </c>
      <c r="C343" s="17" t="str">
        <f t="shared" si="8"/>
        <v>0XEC</v>
      </c>
      <c r="D343" s="17">
        <v>236</v>
      </c>
      <c r="E343" s="17">
        <v>1</v>
      </c>
      <c r="F343" s="17">
        <v>0</v>
      </c>
      <c r="G343" s="17">
        <v>0</v>
      </c>
      <c r="H343" s="17">
        <v>16</v>
      </c>
      <c r="I343" s="17" t="s">
        <v>680</v>
      </c>
      <c r="J343" s="17" t="s">
        <v>500</v>
      </c>
      <c r="K343" s="17" t="s">
        <v>1040</v>
      </c>
      <c r="L343" s="17" t="s">
        <v>513</v>
      </c>
      <c r="M343" s="17" t="s">
        <v>502</v>
      </c>
      <c r="N343" s="17" t="s">
        <v>503</v>
      </c>
    </row>
    <row r="344" spans="1:14">
      <c r="A344" s="17" t="s">
        <v>1041</v>
      </c>
      <c r="B344" s="17" t="s">
        <v>679</v>
      </c>
      <c r="C344" s="17" t="str">
        <f t="shared" si="8"/>
        <v>0XED</v>
      </c>
      <c r="D344" s="17">
        <v>237</v>
      </c>
      <c r="E344" s="17">
        <v>1</v>
      </c>
      <c r="F344" s="17">
        <v>0</v>
      </c>
      <c r="G344" s="17">
        <v>0</v>
      </c>
      <c r="H344" s="17">
        <v>16</v>
      </c>
      <c r="I344" s="17" t="s">
        <v>680</v>
      </c>
      <c r="J344" s="17" t="s">
        <v>500</v>
      </c>
      <c r="K344" s="17" t="s">
        <v>1041</v>
      </c>
      <c r="L344" s="17" t="s">
        <v>515</v>
      </c>
      <c r="M344" s="17" t="s">
        <v>502</v>
      </c>
      <c r="N344" s="17" t="s">
        <v>503</v>
      </c>
    </row>
    <row r="345" spans="1:14">
      <c r="A345" s="17" t="s">
        <v>1042</v>
      </c>
      <c r="B345" s="17" t="s">
        <v>679</v>
      </c>
      <c r="C345" s="17" t="str">
        <f t="shared" si="8"/>
        <v>0XEE</v>
      </c>
      <c r="D345" s="17">
        <v>238</v>
      </c>
      <c r="E345" s="17">
        <v>1</v>
      </c>
      <c r="F345" s="17">
        <v>0</v>
      </c>
      <c r="G345" s="17">
        <v>0</v>
      </c>
      <c r="H345" s="17">
        <v>16</v>
      </c>
      <c r="I345" s="17" t="s">
        <v>680</v>
      </c>
      <c r="J345" s="17" t="s">
        <v>500</v>
      </c>
      <c r="K345" s="17" t="s">
        <v>1042</v>
      </c>
      <c r="L345" s="17" t="s">
        <v>517</v>
      </c>
      <c r="M345" s="17" t="s">
        <v>502</v>
      </c>
      <c r="N345" s="17" t="s">
        <v>503</v>
      </c>
    </row>
    <row r="346" spans="1:14">
      <c r="A346" s="17" t="s">
        <v>1043</v>
      </c>
      <c r="B346" s="17" t="s">
        <v>679</v>
      </c>
      <c r="C346" s="17" t="str">
        <f t="shared" si="8"/>
        <v>0XEF</v>
      </c>
      <c r="D346" s="17">
        <v>239</v>
      </c>
      <c r="E346" s="17">
        <v>1</v>
      </c>
      <c r="F346" s="17">
        <v>0</v>
      </c>
      <c r="G346" s="17">
        <v>0</v>
      </c>
      <c r="H346" s="17">
        <v>16</v>
      </c>
      <c r="I346" s="17" t="s">
        <v>680</v>
      </c>
      <c r="J346" s="17" t="s">
        <v>500</v>
      </c>
      <c r="K346" s="17" t="s">
        <v>1043</v>
      </c>
      <c r="L346" s="17" t="s">
        <v>519</v>
      </c>
      <c r="M346" s="17" t="s">
        <v>502</v>
      </c>
      <c r="N346" s="17" t="s">
        <v>503</v>
      </c>
    </row>
    <row r="347" spans="1:14">
      <c r="A347" s="17" t="s">
        <v>1044</v>
      </c>
      <c r="B347" s="17" t="s">
        <v>679</v>
      </c>
      <c r="C347" s="17" t="str">
        <f t="shared" si="8"/>
        <v>0XF0</v>
      </c>
      <c r="D347" s="17">
        <v>240</v>
      </c>
      <c r="E347" s="17">
        <v>1</v>
      </c>
      <c r="F347" s="17">
        <v>0</v>
      </c>
      <c r="G347" s="17">
        <v>0</v>
      </c>
      <c r="H347" s="17">
        <v>16</v>
      </c>
      <c r="I347" s="17" t="s">
        <v>680</v>
      </c>
      <c r="J347" s="17" t="s">
        <v>500</v>
      </c>
      <c r="K347" s="17" t="s">
        <v>1044</v>
      </c>
      <c r="L347" s="17" t="s">
        <v>521</v>
      </c>
      <c r="M347" s="17" t="s">
        <v>502</v>
      </c>
      <c r="N347" s="17" t="s">
        <v>503</v>
      </c>
    </row>
    <row r="348" spans="1:14">
      <c r="A348" s="17" t="s">
        <v>1045</v>
      </c>
      <c r="B348" s="17" t="s">
        <v>679</v>
      </c>
      <c r="C348" s="17" t="str">
        <f t="shared" si="8"/>
        <v>0XF1</v>
      </c>
      <c r="D348" s="17">
        <v>241</v>
      </c>
      <c r="E348" s="17">
        <v>1</v>
      </c>
      <c r="F348" s="17">
        <v>0</v>
      </c>
      <c r="G348" s="17">
        <v>0</v>
      </c>
      <c r="H348" s="17">
        <v>16</v>
      </c>
      <c r="I348" s="17" t="s">
        <v>680</v>
      </c>
      <c r="J348" s="17" t="s">
        <v>500</v>
      </c>
      <c r="K348" s="17" t="s">
        <v>1045</v>
      </c>
      <c r="L348" s="17" t="s">
        <v>523</v>
      </c>
      <c r="M348" s="17" t="s">
        <v>502</v>
      </c>
      <c r="N348" s="17" t="s">
        <v>503</v>
      </c>
    </row>
    <row r="349" spans="1:14">
      <c r="A349" s="17" t="s">
        <v>1046</v>
      </c>
      <c r="B349" s="17" t="s">
        <v>679</v>
      </c>
      <c r="C349" s="17" t="str">
        <f t="shared" si="8"/>
        <v>0XF2</v>
      </c>
      <c r="D349" s="17">
        <v>242</v>
      </c>
      <c r="E349" s="17">
        <v>1</v>
      </c>
      <c r="F349" s="17">
        <v>0</v>
      </c>
      <c r="G349" s="17">
        <v>0</v>
      </c>
      <c r="H349" s="17">
        <v>16</v>
      </c>
      <c r="I349" s="17" t="s">
        <v>680</v>
      </c>
      <c r="J349" s="17" t="s">
        <v>500</v>
      </c>
      <c r="K349" s="17" t="s">
        <v>1046</v>
      </c>
      <c r="L349" s="17" t="s">
        <v>525</v>
      </c>
      <c r="M349" s="17" t="s">
        <v>502</v>
      </c>
      <c r="N349" s="17" t="s">
        <v>503</v>
      </c>
    </row>
    <row r="350" spans="1:14">
      <c r="A350" s="17" t="s">
        <v>1047</v>
      </c>
      <c r="B350" s="17" t="s">
        <v>679</v>
      </c>
      <c r="C350" s="17" t="str">
        <f t="shared" si="8"/>
        <v>0XF3</v>
      </c>
      <c r="D350" s="17">
        <v>243</v>
      </c>
      <c r="E350" s="17">
        <v>1</v>
      </c>
      <c r="F350" s="17">
        <v>0</v>
      </c>
      <c r="G350" s="17">
        <v>0</v>
      </c>
      <c r="H350" s="17">
        <v>16</v>
      </c>
      <c r="I350" s="17" t="s">
        <v>680</v>
      </c>
      <c r="J350" s="17" t="s">
        <v>500</v>
      </c>
      <c r="K350" s="17" t="s">
        <v>1047</v>
      </c>
      <c r="L350" s="17" t="s">
        <v>527</v>
      </c>
      <c r="M350" s="17" t="s">
        <v>502</v>
      </c>
      <c r="N350" s="17" t="s">
        <v>503</v>
      </c>
    </row>
    <row r="351" spans="1:14">
      <c r="A351" s="17" t="s">
        <v>1048</v>
      </c>
      <c r="B351" s="17" t="s">
        <v>679</v>
      </c>
      <c r="C351" s="17" t="str">
        <f t="shared" si="8"/>
        <v>0XF4</v>
      </c>
      <c r="D351" s="17">
        <v>244</v>
      </c>
      <c r="E351" s="17">
        <v>1</v>
      </c>
      <c r="F351" s="17">
        <v>0</v>
      </c>
      <c r="G351" s="17">
        <v>0</v>
      </c>
      <c r="H351" s="17">
        <v>16</v>
      </c>
      <c r="I351" s="17" t="s">
        <v>680</v>
      </c>
      <c r="J351" s="17" t="s">
        <v>500</v>
      </c>
      <c r="K351" s="17" t="s">
        <v>1048</v>
      </c>
      <c r="L351" s="17" t="s">
        <v>529</v>
      </c>
      <c r="M351" s="17" t="s">
        <v>502</v>
      </c>
      <c r="N351" s="17" t="s">
        <v>503</v>
      </c>
    </row>
    <row r="352" spans="1:14">
      <c r="A352" s="17" t="s">
        <v>1049</v>
      </c>
      <c r="B352" s="17" t="s">
        <v>679</v>
      </c>
      <c r="C352" s="17" t="str">
        <f t="shared" si="8"/>
        <v>0XF5</v>
      </c>
      <c r="D352" s="17">
        <v>245</v>
      </c>
      <c r="E352" s="17">
        <v>1</v>
      </c>
      <c r="F352" s="17">
        <v>0</v>
      </c>
      <c r="G352" s="17">
        <v>0</v>
      </c>
      <c r="H352" s="17">
        <v>16</v>
      </c>
      <c r="I352" s="17" t="s">
        <v>680</v>
      </c>
      <c r="J352" s="17" t="s">
        <v>500</v>
      </c>
      <c r="K352" s="17" t="s">
        <v>1049</v>
      </c>
      <c r="L352" s="17" t="s">
        <v>531</v>
      </c>
      <c r="M352" s="17" t="s">
        <v>502</v>
      </c>
      <c r="N352" s="17" t="s">
        <v>503</v>
      </c>
    </row>
    <row r="353" spans="1:14">
      <c r="A353" s="17" t="s">
        <v>1050</v>
      </c>
      <c r="B353" s="17" t="s">
        <v>679</v>
      </c>
      <c r="C353" s="17" t="str">
        <f t="shared" si="8"/>
        <v>0XF6</v>
      </c>
      <c r="D353" s="17">
        <v>246</v>
      </c>
      <c r="E353" s="17">
        <v>1</v>
      </c>
      <c r="F353" s="17">
        <v>0</v>
      </c>
      <c r="G353" s="17">
        <v>0</v>
      </c>
      <c r="H353" s="17">
        <v>16</v>
      </c>
      <c r="I353" s="17" t="s">
        <v>680</v>
      </c>
      <c r="J353" s="17" t="s">
        <v>500</v>
      </c>
      <c r="K353" s="17" t="s">
        <v>1050</v>
      </c>
      <c r="L353" s="17" t="s">
        <v>533</v>
      </c>
      <c r="M353" s="17" t="s">
        <v>502</v>
      </c>
      <c r="N353" s="17" t="s">
        <v>503</v>
      </c>
    </row>
    <row r="354" spans="1:14">
      <c r="A354" s="17" t="s">
        <v>1051</v>
      </c>
      <c r="B354" s="17" t="s">
        <v>679</v>
      </c>
      <c r="C354" s="17" t="str">
        <f t="shared" si="8"/>
        <v>0XF7</v>
      </c>
      <c r="D354" s="17">
        <v>247</v>
      </c>
      <c r="E354" s="17">
        <v>1</v>
      </c>
      <c r="F354" s="17">
        <v>0</v>
      </c>
      <c r="G354" s="17">
        <v>0</v>
      </c>
      <c r="H354" s="17">
        <v>16</v>
      </c>
      <c r="I354" s="17" t="s">
        <v>680</v>
      </c>
      <c r="J354" s="17" t="s">
        <v>500</v>
      </c>
      <c r="K354" s="17" t="s">
        <v>1051</v>
      </c>
      <c r="L354" s="17" t="s">
        <v>535</v>
      </c>
      <c r="M354" s="17" t="s">
        <v>536</v>
      </c>
      <c r="N354" s="17" t="s">
        <v>537</v>
      </c>
    </row>
    <row r="355" spans="1:14">
      <c r="A355" s="17" t="s">
        <v>1052</v>
      </c>
      <c r="B355" s="17" t="s">
        <v>679</v>
      </c>
      <c r="C355" s="17" t="str">
        <f t="shared" si="8"/>
        <v>0XF8</v>
      </c>
      <c r="D355" s="17">
        <v>248</v>
      </c>
      <c r="E355" s="17">
        <v>1</v>
      </c>
      <c r="F355" s="17">
        <v>0</v>
      </c>
      <c r="G355" s="17">
        <v>0</v>
      </c>
      <c r="H355" s="17">
        <v>16</v>
      </c>
      <c r="I355" s="17" t="s">
        <v>680</v>
      </c>
      <c r="J355" s="17" t="s">
        <v>500</v>
      </c>
      <c r="K355" s="17" t="s">
        <v>1052</v>
      </c>
      <c r="L355" s="17" t="s">
        <v>539</v>
      </c>
      <c r="M355" s="17" t="s">
        <v>536</v>
      </c>
      <c r="N355" s="17" t="s">
        <v>537</v>
      </c>
    </row>
    <row r="356" spans="1:14">
      <c r="A356" s="17" t="s">
        <v>1053</v>
      </c>
      <c r="B356" s="17" t="s">
        <v>679</v>
      </c>
      <c r="C356" s="17" t="str">
        <f t="shared" si="8"/>
        <v>0XF9</v>
      </c>
      <c r="D356" s="17">
        <v>249</v>
      </c>
      <c r="E356" s="17">
        <v>1</v>
      </c>
      <c r="F356" s="17">
        <v>0</v>
      </c>
      <c r="G356" s="17">
        <v>0</v>
      </c>
      <c r="H356" s="17">
        <v>16</v>
      </c>
      <c r="I356" s="17" t="s">
        <v>680</v>
      </c>
      <c r="J356" s="17" t="s">
        <v>500</v>
      </c>
      <c r="K356" s="17" t="s">
        <v>1053</v>
      </c>
      <c r="L356" s="17" t="s">
        <v>541</v>
      </c>
      <c r="M356" s="17" t="s">
        <v>536</v>
      </c>
      <c r="N356" s="17" t="s">
        <v>537</v>
      </c>
    </row>
    <row r="357" spans="1:14">
      <c r="A357" s="17" t="s">
        <v>1054</v>
      </c>
      <c r="B357" s="17" t="s">
        <v>679</v>
      </c>
      <c r="C357" s="17" t="str">
        <f t="shared" si="8"/>
        <v>0XFA</v>
      </c>
      <c r="D357" s="17">
        <v>250</v>
      </c>
      <c r="E357" s="17">
        <v>1</v>
      </c>
      <c r="F357" s="17">
        <v>0</v>
      </c>
      <c r="G357" s="17">
        <v>0</v>
      </c>
      <c r="H357" s="17">
        <v>16</v>
      </c>
      <c r="I357" s="17" t="s">
        <v>680</v>
      </c>
      <c r="J357" s="17" t="s">
        <v>500</v>
      </c>
      <c r="K357" s="17" t="s">
        <v>1054</v>
      </c>
      <c r="L357" s="17" t="s">
        <v>543</v>
      </c>
      <c r="M357" s="17" t="s">
        <v>536</v>
      </c>
      <c r="N357" s="17" t="s">
        <v>537</v>
      </c>
    </row>
    <row r="358" spans="1:14">
      <c r="A358" s="17" t="s">
        <v>1055</v>
      </c>
      <c r="B358" s="17" t="s">
        <v>679</v>
      </c>
      <c r="C358" s="17" t="str">
        <f t="shared" si="8"/>
        <v>0XFB</v>
      </c>
      <c r="D358" s="17">
        <v>251</v>
      </c>
      <c r="E358" s="17">
        <v>1</v>
      </c>
      <c r="F358" s="17">
        <v>0</v>
      </c>
      <c r="G358" s="17">
        <v>0</v>
      </c>
      <c r="H358" s="17">
        <v>16</v>
      </c>
      <c r="I358" s="17" t="s">
        <v>680</v>
      </c>
      <c r="J358" s="17" t="s">
        <v>500</v>
      </c>
      <c r="K358" s="17" t="s">
        <v>1055</v>
      </c>
      <c r="L358" s="17" t="s">
        <v>545</v>
      </c>
      <c r="M358" s="17" t="s">
        <v>546</v>
      </c>
      <c r="N358" s="17" t="s">
        <v>547</v>
      </c>
    </row>
    <row r="359" ht="17.25" customHeight="1" spans="1:14">
      <c r="A359" s="17" t="s">
        <v>1056</v>
      </c>
      <c r="B359" s="17" t="s">
        <v>679</v>
      </c>
      <c r="C359" s="17" t="str">
        <f t="shared" si="8"/>
        <v>0XFC</v>
      </c>
      <c r="D359" s="17">
        <v>252</v>
      </c>
      <c r="E359" s="17">
        <v>1</v>
      </c>
      <c r="F359" s="17">
        <v>0</v>
      </c>
      <c r="G359" s="17">
        <v>0</v>
      </c>
      <c r="H359" s="17">
        <v>16</v>
      </c>
      <c r="I359" s="17" t="s">
        <v>680</v>
      </c>
      <c r="J359" s="17" t="s">
        <v>500</v>
      </c>
      <c r="K359" s="17" t="s">
        <v>1056</v>
      </c>
      <c r="L359" s="17" t="s">
        <v>549</v>
      </c>
      <c r="M359" s="17" t="s">
        <v>550</v>
      </c>
      <c r="N359" s="17" t="s">
        <v>547</v>
      </c>
    </row>
    <row r="360" spans="1:14">
      <c r="A360" s="17" t="s">
        <v>1057</v>
      </c>
      <c r="B360" s="17" t="s">
        <v>679</v>
      </c>
      <c r="C360" s="17" t="str">
        <f t="shared" si="8"/>
        <v>0XFD</v>
      </c>
      <c r="D360" s="17">
        <v>253</v>
      </c>
      <c r="E360" s="17">
        <v>1</v>
      </c>
      <c r="F360" s="17">
        <v>0</v>
      </c>
      <c r="G360" s="17">
        <v>0</v>
      </c>
      <c r="H360" s="17">
        <v>16</v>
      </c>
      <c r="I360" s="17" t="s">
        <v>680</v>
      </c>
      <c r="J360" s="17" t="s">
        <v>500</v>
      </c>
      <c r="K360" s="17" t="s">
        <v>1057</v>
      </c>
      <c r="L360" s="17" t="s">
        <v>552</v>
      </c>
      <c r="M360" s="17" t="s">
        <v>546</v>
      </c>
      <c r="N360" s="17" t="s">
        <v>553</v>
      </c>
    </row>
    <row r="361" spans="1:14">
      <c r="A361" s="17" t="s">
        <v>1058</v>
      </c>
      <c r="B361" s="17" t="s">
        <v>679</v>
      </c>
      <c r="C361" s="17" t="str">
        <f t="shared" si="8"/>
        <v>0XFE</v>
      </c>
      <c r="D361" s="17">
        <v>254</v>
      </c>
      <c r="E361" s="17">
        <v>1</v>
      </c>
      <c r="F361" s="17">
        <v>0</v>
      </c>
      <c r="G361" s="17">
        <v>0</v>
      </c>
      <c r="H361" s="17">
        <v>16</v>
      </c>
      <c r="I361" s="17" t="s">
        <v>680</v>
      </c>
      <c r="J361" s="17" t="s">
        <v>500</v>
      </c>
      <c r="K361" s="17" t="s">
        <v>1058</v>
      </c>
      <c r="L361" s="17" t="s">
        <v>555</v>
      </c>
      <c r="M361" s="17" t="s">
        <v>550</v>
      </c>
      <c r="N361" s="17" t="s">
        <v>553</v>
      </c>
    </row>
    <row r="362" spans="1:14">
      <c r="A362" s="17" t="s">
        <v>1059</v>
      </c>
      <c r="B362" s="17" t="s">
        <v>679</v>
      </c>
      <c r="C362" s="17" t="str">
        <f t="shared" si="8"/>
        <v>0XFF</v>
      </c>
      <c r="D362" s="17">
        <v>255</v>
      </c>
      <c r="E362" s="17">
        <v>1</v>
      </c>
      <c r="F362" s="17">
        <v>1</v>
      </c>
      <c r="G362" s="17">
        <v>0</v>
      </c>
      <c r="H362" s="17">
        <v>16</v>
      </c>
      <c r="I362" s="17" t="s">
        <v>680</v>
      </c>
      <c r="J362" s="17" t="s">
        <v>66</v>
      </c>
      <c r="K362" s="17" t="s">
        <v>1059</v>
      </c>
      <c r="L362" s="17" t="s">
        <v>557</v>
      </c>
      <c r="M362" s="17" t="s">
        <v>558</v>
      </c>
      <c r="N362" s="17" t="s">
        <v>559</v>
      </c>
    </row>
    <row r="363" spans="1:14">
      <c r="A363" s="17" t="s">
        <v>1060</v>
      </c>
      <c r="B363" s="17" t="s">
        <v>1061</v>
      </c>
      <c r="C363" s="17" t="str">
        <f t="shared" si="8"/>
        <v>0X1</v>
      </c>
      <c r="D363" s="17">
        <v>1</v>
      </c>
      <c r="E363" s="17">
        <v>0</v>
      </c>
      <c r="F363" s="17">
        <v>1</v>
      </c>
      <c r="G363" s="17">
        <v>1</v>
      </c>
      <c r="H363" s="17">
        <v>8</v>
      </c>
      <c r="I363" s="17" t="s">
        <v>1062</v>
      </c>
      <c r="J363" s="17" t="s">
        <v>115</v>
      </c>
      <c r="K363" s="17" t="s">
        <v>1060</v>
      </c>
      <c r="L363" s="17" t="s">
        <v>1063</v>
      </c>
      <c r="M363" s="17" t="s">
        <v>130</v>
      </c>
      <c r="N363" s="17" t="s">
        <v>1064</v>
      </c>
    </row>
    <row r="364" spans="1:14">
      <c r="A364" s="17" t="s">
        <v>1065</v>
      </c>
      <c r="B364" s="17" t="s">
        <v>1061</v>
      </c>
      <c r="C364" s="17" t="str">
        <f t="shared" si="8"/>
        <v>0X2</v>
      </c>
      <c r="D364" s="17">
        <v>2</v>
      </c>
      <c r="E364" s="17">
        <v>0</v>
      </c>
      <c r="F364" s="17">
        <v>1</v>
      </c>
      <c r="G364" s="17">
        <v>1</v>
      </c>
      <c r="H364" s="17">
        <v>16</v>
      </c>
      <c r="I364" s="17" t="s">
        <v>1062</v>
      </c>
      <c r="J364" s="17" t="s">
        <v>115</v>
      </c>
      <c r="K364" s="17" t="s">
        <v>1065</v>
      </c>
      <c r="L364" s="17" t="s">
        <v>1066</v>
      </c>
      <c r="M364" s="17" t="s">
        <v>133</v>
      </c>
      <c r="N364" s="17" t="s">
        <v>134</v>
      </c>
    </row>
    <row r="365" spans="1:14">
      <c r="A365" s="17" t="s">
        <v>1067</v>
      </c>
      <c r="B365" s="17" t="s">
        <v>1061</v>
      </c>
      <c r="C365" s="17" t="str">
        <f t="shared" si="8"/>
        <v>0X3</v>
      </c>
      <c r="D365" s="17">
        <v>3</v>
      </c>
      <c r="E365" s="17">
        <v>0</v>
      </c>
      <c r="F365" s="17">
        <v>1</v>
      </c>
      <c r="G365" s="17">
        <v>1</v>
      </c>
      <c r="H365" s="17">
        <v>8</v>
      </c>
      <c r="I365" s="17" t="s">
        <v>1062</v>
      </c>
      <c r="J365" s="17" t="s">
        <v>115</v>
      </c>
      <c r="K365" s="17" t="s">
        <v>1067</v>
      </c>
      <c r="L365" s="17" t="s">
        <v>1068</v>
      </c>
      <c r="M365" s="17" t="s">
        <v>130</v>
      </c>
      <c r="N365" s="17" t="s">
        <v>1064</v>
      </c>
    </row>
    <row r="366" spans="1:14">
      <c r="A366" s="17" t="s">
        <v>1069</v>
      </c>
      <c r="B366" s="17" t="s">
        <v>1061</v>
      </c>
      <c r="C366" s="17" t="str">
        <f t="shared" si="8"/>
        <v>0X4</v>
      </c>
      <c r="D366" s="17">
        <v>4</v>
      </c>
      <c r="E366" s="17">
        <v>0</v>
      </c>
      <c r="F366" s="17">
        <v>1</v>
      </c>
      <c r="G366" s="17">
        <v>1</v>
      </c>
      <c r="H366" s="17">
        <v>16</v>
      </c>
      <c r="I366" s="17" t="s">
        <v>1062</v>
      </c>
      <c r="J366" s="17" t="s">
        <v>115</v>
      </c>
      <c r="K366" s="17" t="s">
        <v>1069</v>
      </c>
      <c r="L366" s="17" t="s">
        <v>1070</v>
      </c>
      <c r="M366" s="17" t="s">
        <v>133</v>
      </c>
      <c r="N366" s="17" t="s">
        <v>134</v>
      </c>
    </row>
    <row r="367" spans="1:14">
      <c r="A367" s="17" t="s">
        <v>1071</v>
      </c>
      <c r="B367" s="17" t="s">
        <v>1061</v>
      </c>
      <c r="C367" s="17" t="str">
        <f t="shared" si="8"/>
        <v>0X5</v>
      </c>
      <c r="D367" s="17">
        <v>5</v>
      </c>
      <c r="E367" s="17">
        <v>0</v>
      </c>
      <c r="F367" s="17">
        <v>1</v>
      </c>
      <c r="G367" s="17">
        <v>1</v>
      </c>
      <c r="H367" s="17">
        <v>1</v>
      </c>
      <c r="I367" s="17" t="s">
        <v>1062</v>
      </c>
      <c r="J367" s="17" t="s">
        <v>115</v>
      </c>
      <c r="K367" s="17" t="s">
        <v>1071</v>
      </c>
      <c r="L367" s="17" t="s">
        <v>1072</v>
      </c>
      <c r="M367" s="17" t="s">
        <v>18</v>
      </c>
      <c r="N367" s="17" t="s">
        <v>1073</v>
      </c>
    </row>
    <row r="368" spans="1:14">
      <c r="A368" s="17" t="s">
        <v>1074</v>
      </c>
      <c r="B368" s="17" t="s">
        <v>1061</v>
      </c>
      <c r="C368" s="17" t="str">
        <f t="shared" si="8"/>
        <v>0X6</v>
      </c>
      <c r="D368" s="17">
        <v>6</v>
      </c>
      <c r="E368" s="17">
        <v>0</v>
      </c>
      <c r="F368" s="17">
        <v>1</v>
      </c>
      <c r="G368" s="17">
        <v>1</v>
      </c>
      <c r="H368" s="17">
        <v>1</v>
      </c>
      <c r="I368" s="17" t="s">
        <v>1062</v>
      </c>
      <c r="J368" s="17" t="s">
        <v>115</v>
      </c>
      <c r="K368" s="17" t="s">
        <v>1074</v>
      </c>
      <c r="L368" s="17" t="s">
        <v>1075</v>
      </c>
      <c r="M368" s="17" t="s">
        <v>18</v>
      </c>
      <c r="N368" s="17" t="s">
        <v>1076</v>
      </c>
    </row>
    <row r="369" spans="1:14">
      <c r="A369" s="17" t="s">
        <v>1077</v>
      </c>
      <c r="B369" s="17" t="s">
        <v>1061</v>
      </c>
      <c r="C369" s="17" t="str">
        <f t="shared" si="8"/>
        <v>0X7</v>
      </c>
      <c r="D369" s="17">
        <v>7</v>
      </c>
      <c r="E369" s="17">
        <v>0</v>
      </c>
      <c r="F369" s="17">
        <v>1</v>
      </c>
      <c r="G369" s="17">
        <v>1</v>
      </c>
      <c r="H369" s="17">
        <v>3</v>
      </c>
      <c r="I369" s="17" t="s">
        <v>1062</v>
      </c>
      <c r="J369" s="17" t="s">
        <v>115</v>
      </c>
      <c r="K369" s="17" t="s">
        <v>1077</v>
      </c>
      <c r="L369" s="17" t="s">
        <v>1078</v>
      </c>
      <c r="M369" s="17" t="s">
        <v>1079</v>
      </c>
      <c r="N369" s="17" t="s">
        <v>1080</v>
      </c>
    </row>
    <row r="370" spans="1:14">
      <c r="A370" s="17" t="s">
        <v>1081</v>
      </c>
      <c r="B370" s="17" t="s">
        <v>1061</v>
      </c>
      <c r="C370" s="17" t="str">
        <f t="shared" si="8"/>
        <v>0X8</v>
      </c>
      <c r="D370" s="17">
        <v>8</v>
      </c>
      <c r="E370" s="17">
        <v>0</v>
      </c>
      <c r="F370" s="17">
        <v>1</v>
      </c>
      <c r="G370" s="17">
        <v>1</v>
      </c>
      <c r="H370" s="17">
        <v>1</v>
      </c>
      <c r="I370" s="17" t="s">
        <v>1062</v>
      </c>
      <c r="J370" s="17" t="s">
        <v>115</v>
      </c>
      <c r="K370" s="17" t="s">
        <v>1081</v>
      </c>
      <c r="L370" s="17" t="s">
        <v>1082</v>
      </c>
      <c r="M370" s="17" t="s">
        <v>18</v>
      </c>
      <c r="N370" s="17" t="s">
        <v>1083</v>
      </c>
    </row>
    <row r="371" spans="1:14">
      <c r="A371" s="17" t="s">
        <v>1084</v>
      </c>
      <c r="B371" s="17" t="s">
        <v>1061</v>
      </c>
      <c r="C371" s="17" t="str">
        <f t="shared" si="8"/>
        <v>0X9</v>
      </c>
      <c r="D371" s="17">
        <v>9</v>
      </c>
      <c r="E371" s="17">
        <v>0</v>
      </c>
      <c r="F371" s="17">
        <v>1</v>
      </c>
      <c r="G371" s="17">
        <v>1</v>
      </c>
      <c r="H371" s="17">
        <v>1</v>
      </c>
      <c r="I371" s="17" t="s">
        <v>1062</v>
      </c>
      <c r="J371" s="17" t="s">
        <v>115</v>
      </c>
      <c r="K371" s="17" t="s">
        <v>1084</v>
      </c>
      <c r="L371" s="17" t="s">
        <v>1085</v>
      </c>
      <c r="M371" s="17" t="s">
        <v>18</v>
      </c>
      <c r="N371" s="17" t="s">
        <v>1086</v>
      </c>
    </row>
    <row r="372" ht="28.5" spans="1:14">
      <c r="A372" s="17" t="s">
        <v>1087</v>
      </c>
      <c r="B372" s="17" t="s">
        <v>1061</v>
      </c>
      <c r="C372" s="17" t="str">
        <f t="shared" si="8"/>
        <v>0XA</v>
      </c>
      <c r="D372" s="17">
        <v>10</v>
      </c>
      <c r="E372" s="17">
        <v>0</v>
      </c>
      <c r="F372" s="17">
        <v>1</v>
      </c>
      <c r="G372" s="17">
        <v>1</v>
      </c>
      <c r="H372" s="17">
        <v>1</v>
      </c>
      <c r="I372" s="17" t="s">
        <v>1062</v>
      </c>
      <c r="J372" s="17" t="s">
        <v>115</v>
      </c>
      <c r="K372" s="17" t="s">
        <v>1087</v>
      </c>
      <c r="L372" s="17" t="s">
        <v>1088</v>
      </c>
      <c r="M372" s="17" t="s">
        <v>18</v>
      </c>
      <c r="N372" s="19" t="s">
        <v>1089</v>
      </c>
    </row>
    <row r="373" spans="1:14">
      <c r="A373" s="17" t="s">
        <v>1090</v>
      </c>
      <c r="B373" s="17" t="s">
        <v>1061</v>
      </c>
      <c r="C373" s="17" t="str">
        <f t="shared" si="8"/>
        <v>0XE5</v>
      </c>
      <c r="D373" s="17">
        <v>229</v>
      </c>
      <c r="E373" s="17">
        <v>0</v>
      </c>
      <c r="F373" s="17">
        <v>1</v>
      </c>
      <c r="G373" s="17">
        <v>0</v>
      </c>
      <c r="H373" s="17">
        <v>8</v>
      </c>
      <c r="I373" s="17" t="s">
        <v>1062</v>
      </c>
      <c r="J373" s="17" t="s">
        <v>493</v>
      </c>
      <c r="K373" s="17" t="s">
        <v>1090</v>
      </c>
      <c r="L373" s="17" t="s">
        <v>494</v>
      </c>
      <c r="M373" s="17" t="s">
        <v>495</v>
      </c>
      <c r="N373" s="17" t="s">
        <v>496</v>
      </c>
    </row>
    <row r="374" spans="1:14">
      <c r="A374" s="17" t="s">
        <v>1091</v>
      </c>
      <c r="B374" s="17" t="s">
        <v>1061</v>
      </c>
      <c r="C374" s="17" t="str">
        <f t="shared" si="8"/>
        <v>0XE6</v>
      </c>
      <c r="D374" s="17">
        <v>230</v>
      </c>
      <c r="E374" s="17">
        <v>1</v>
      </c>
      <c r="F374" s="17">
        <v>0</v>
      </c>
      <c r="G374" s="17">
        <v>0</v>
      </c>
      <c r="H374" s="17">
        <v>16</v>
      </c>
      <c r="I374" s="17" t="s">
        <v>1062</v>
      </c>
      <c r="J374" s="17" t="s">
        <v>493</v>
      </c>
      <c r="K374" s="17" t="s">
        <v>1091</v>
      </c>
      <c r="L374" s="17" t="s">
        <v>498</v>
      </c>
      <c r="M374" s="17" t="s">
        <v>495</v>
      </c>
      <c r="N374" s="17" t="s">
        <v>496</v>
      </c>
    </row>
    <row r="375" spans="1:14">
      <c r="A375" s="17" t="s">
        <v>1092</v>
      </c>
      <c r="B375" s="17" t="s">
        <v>1061</v>
      </c>
      <c r="C375" s="17" t="str">
        <f t="shared" si="8"/>
        <v>0XE7</v>
      </c>
      <c r="D375" s="17">
        <v>231</v>
      </c>
      <c r="E375" s="17">
        <v>1</v>
      </c>
      <c r="F375" s="17">
        <v>0</v>
      </c>
      <c r="G375" s="17">
        <v>0</v>
      </c>
      <c r="H375" s="17">
        <v>16</v>
      </c>
      <c r="I375" s="17" t="s">
        <v>1062</v>
      </c>
      <c r="J375" s="17" t="s">
        <v>500</v>
      </c>
      <c r="K375" s="17" t="s">
        <v>1092</v>
      </c>
      <c r="L375" s="17" t="s">
        <v>501</v>
      </c>
      <c r="M375" s="17" t="s">
        <v>502</v>
      </c>
      <c r="N375" s="17" t="s">
        <v>503</v>
      </c>
    </row>
    <row r="376" spans="1:14">
      <c r="A376" s="17" t="s">
        <v>1093</v>
      </c>
      <c r="B376" s="17" t="s">
        <v>1061</v>
      </c>
      <c r="C376" s="17" t="str">
        <f t="shared" si="8"/>
        <v>0XE8</v>
      </c>
      <c r="D376" s="17">
        <v>232</v>
      </c>
      <c r="E376" s="17">
        <v>1</v>
      </c>
      <c r="F376" s="17">
        <v>0</v>
      </c>
      <c r="G376" s="17">
        <v>0</v>
      </c>
      <c r="H376" s="17">
        <v>16</v>
      </c>
      <c r="I376" s="17" t="s">
        <v>1062</v>
      </c>
      <c r="J376" s="17" t="s">
        <v>500</v>
      </c>
      <c r="K376" s="17" t="s">
        <v>1093</v>
      </c>
      <c r="L376" s="17" t="s">
        <v>505</v>
      </c>
      <c r="M376" s="17" t="s">
        <v>502</v>
      </c>
      <c r="N376" s="17" t="s">
        <v>503</v>
      </c>
    </row>
    <row r="377" spans="1:14">
      <c r="A377" s="17" t="s">
        <v>1094</v>
      </c>
      <c r="B377" s="17" t="s">
        <v>1061</v>
      </c>
      <c r="C377" s="17" t="str">
        <f t="shared" si="8"/>
        <v>0XE9</v>
      </c>
      <c r="D377" s="17">
        <v>233</v>
      </c>
      <c r="E377" s="17">
        <v>1</v>
      </c>
      <c r="F377" s="17">
        <v>0</v>
      </c>
      <c r="G377" s="17">
        <v>0</v>
      </c>
      <c r="H377" s="17">
        <v>16</v>
      </c>
      <c r="I377" s="17" t="s">
        <v>1062</v>
      </c>
      <c r="J377" s="17" t="s">
        <v>500</v>
      </c>
      <c r="K377" s="17" t="s">
        <v>1094</v>
      </c>
      <c r="L377" s="17" t="s">
        <v>507</v>
      </c>
      <c r="M377" s="17" t="s">
        <v>502</v>
      </c>
      <c r="N377" s="17" t="s">
        <v>503</v>
      </c>
    </row>
    <row r="378" spans="1:14">
      <c r="A378" s="17" t="s">
        <v>1095</v>
      </c>
      <c r="B378" s="17" t="s">
        <v>1061</v>
      </c>
      <c r="C378" s="17" t="str">
        <f t="shared" si="8"/>
        <v>0XEA</v>
      </c>
      <c r="D378" s="17">
        <v>234</v>
      </c>
      <c r="E378" s="17">
        <v>1</v>
      </c>
      <c r="F378" s="17">
        <v>0</v>
      </c>
      <c r="G378" s="17">
        <v>0</v>
      </c>
      <c r="H378" s="17">
        <v>16</v>
      </c>
      <c r="I378" s="17" t="s">
        <v>1062</v>
      </c>
      <c r="J378" s="17" t="s">
        <v>500</v>
      </c>
      <c r="K378" s="17" t="s">
        <v>1095</v>
      </c>
      <c r="L378" s="17" t="s">
        <v>509</v>
      </c>
      <c r="M378" s="17" t="s">
        <v>502</v>
      </c>
      <c r="N378" s="17" t="s">
        <v>503</v>
      </c>
    </row>
    <row r="379" customFormat="1" spans="1:19">
      <c r="A379" s="17" t="s">
        <v>1096</v>
      </c>
      <c r="B379" s="17" t="s">
        <v>1061</v>
      </c>
      <c r="C379" s="17" t="str">
        <f t="shared" si="8"/>
        <v>0XEB</v>
      </c>
      <c r="D379" s="17">
        <v>235</v>
      </c>
      <c r="E379" s="17">
        <v>1</v>
      </c>
      <c r="F379" s="17">
        <v>0</v>
      </c>
      <c r="G379" s="17">
        <v>0</v>
      </c>
      <c r="H379" s="17">
        <v>16</v>
      </c>
      <c r="I379" s="17" t="s">
        <v>1062</v>
      </c>
      <c r="J379" s="17" t="s">
        <v>500</v>
      </c>
      <c r="K379" s="17" t="s">
        <v>1096</v>
      </c>
      <c r="L379" s="17" t="s">
        <v>511</v>
      </c>
      <c r="M379" s="17" t="s">
        <v>502</v>
      </c>
      <c r="N379" s="17" t="s">
        <v>503</v>
      </c>
      <c r="O379" s="17"/>
      <c r="P379" s="17"/>
      <c r="Q379" s="17"/>
      <c r="R379" s="17"/>
      <c r="S379" s="17"/>
    </row>
    <row r="380" customFormat="1" spans="1:19">
      <c r="A380" s="17" t="s">
        <v>1097</v>
      </c>
      <c r="B380" s="17" t="s">
        <v>1061</v>
      </c>
      <c r="C380" s="17" t="str">
        <f t="shared" si="8"/>
        <v>0XEC</v>
      </c>
      <c r="D380" s="17">
        <v>236</v>
      </c>
      <c r="E380" s="17">
        <v>1</v>
      </c>
      <c r="F380" s="17">
        <v>0</v>
      </c>
      <c r="G380" s="17">
        <v>0</v>
      </c>
      <c r="H380" s="17">
        <v>16</v>
      </c>
      <c r="I380" s="17" t="s">
        <v>1062</v>
      </c>
      <c r="J380" s="17" t="s">
        <v>500</v>
      </c>
      <c r="K380" s="17" t="s">
        <v>1097</v>
      </c>
      <c r="L380" s="17" t="s">
        <v>513</v>
      </c>
      <c r="M380" s="17" t="s">
        <v>502</v>
      </c>
      <c r="N380" s="17" t="s">
        <v>503</v>
      </c>
      <c r="O380" s="17"/>
      <c r="P380" s="17"/>
      <c r="Q380" s="17"/>
      <c r="R380" s="17"/>
      <c r="S380" s="17"/>
    </row>
    <row r="381" customFormat="1" spans="1:19">
      <c r="A381" s="17" t="s">
        <v>1098</v>
      </c>
      <c r="B381" s="17" t="s">
        <v>1061</v>
      </c>
      <c r="C381" s="17" t="str">
        <f t="shared" si="8"/>
        <v>0XED</v>
      </c>
      <c r="D381" s="17">
        <v>237</v>
      </c>
      <c r="E381" s="17">
        <v>1</v>
      </c>
      <c r="F381" s="17">
        <v>0</v>
      </c>
      <c r="G381" s="17">
        <v>0</v>
      </c>
      <c r="H381" s="17">
        <v>16</v>
      </c>
      <c r="I381" s="17" t="s">
        <v>1062</v>
      </c>
      <c r="J381" s="17" t="s">
        <v>500</v>
      </c>
      <c r="K381" s="17" t="s">
        <v>1098</v>
      </c>
      <c r="L381" s="17" t="s">
        <v>515</v>
      </c>
      <c r="M381" s="17" t="s">
        <v>502</v>
      </c>
      <c r="N381" s="17" t="s">
        <v>503</v>
      </c>
      <c r="O381" s="17"/>
      <c r="P381" s="17"/>
      <c r="Q381" s="17"/>
      <c r="R381" s="17"/>
      <c r="S381" s="17"/>
    </row>
    <row r="382" customFormat="1" spans="1:19">
      <c r="A382" s="17" t="s">
        <v>1099</v>
      </c>
      <c r="B382" s="17" t="s">
        <v>1061</v>
      </c>
      <c r="C382" s="17" t="str">
        <f t="shared" si="8"/>
        <v>0XEE</v>
      </c>
      <c r="D382" s="17">
        <v>238</v>
      </c>
      <c r="E382" s="17">
        <v>1</v>
      </c>
      <c r="F382" s="17">
        <v>0</v>
      </c>
      <c r="G382" s="17">
        <v>0</v>
      </c>
      <c r="H382" s="17">
        <v>16</v>
      </c>
      <c r="I382" s="17" t="s">
        <v>1062</v>
      </c>
      <c r="J382" s="17" t="s">
        <v>500</v>
      </c>
      <c r="K382" s="17" t="s">
        <v>1099</v>
      </c>
      <c r="L382" s="17" t="s">
        <v>517</v>
      </c>
      <c r="M382" s="17" t="s">
        <v>502</v>
      </c>
      <c r="N382" s="17" t="s">
        <v>503</v>
      </c>
      <c r="O382" s="17"/>
      <c r="P382" s="17"/>
      <c r="Q382" s="17"/>
      <c r="R382" s="17"/>
      <c r="S382" s="17"/>
    </row>
    <row r="383" customFormat="1" spans="1:19">
      <c r="A383" s="17" t="s">
        <v>1100</v>
      </c>
      <c r="B383" s="17" t="s">
        <v>1061</v>
      </c>
      <c r="C383" s="17" t="str">
        <f t="shared" si="8"/>
        <v>0XEF</v>
      </c>
      <c r="D383" s="17">
        <v>239</v>
      </c>
      <c r="E383" s="17">
        <v>1</v>
      </c>
      <c r="F383" s="17">
        <v>0</v>
      </c>
      <c r="G383" s="17">
        <v>0</v>
      </c>
      <c r="H383" s="17">
        <v>16</v>
      </c>
      <c r="I383" s="17" t="s">
        <v>1062</v>
      </c>
      <c r="J383" s="17" t="s">
        <v>500</v>
      </c>
      <c r="K383" s="17" t="s">
        <v>1100</v>
      </c>
      <c r="L383" s="17" t="s">
        <v>519</v>
      </c>
      <c r="M383" s="17" t="s">
        <v>502</v>
      </c>
      <c r="N383" s="17" t="s">
        <v>503</v>
      </c>
      <c r="O383" s="17"/>
      <c r="P383" s="17"/>
      <c r="Q383" s="17"/>
      <c r="R383" s="17"/>
      <c r="S383" s="17"/>
    </row>
    <row r="384" customFormat="1" spans="1:19">
      <c r="A384" s="17" t="s">
        <v>1101</v>
      </c>
      <c r="B384" s="17" t="s">
        <v>1061</v>
      </c>
      <c r="C384" s="17" t="str">
        <f t="shared" si="8"/>
        <v>0XF0</v>
      </c>
      <c r="D384" s="17">
        <v>240</v>
      </c>
      <c r="E384" s="17">
        <v>1</v>
      </c>
      <c r="F384" s="17">
        <v>0</v>
      </c>
      <c r="G384" s="17">
        <v>0</v>
      </c>
      <c r="H384" s="17">
        <v>16</v>
      </c>
      <c r="I384" s="17" t="s">
        <v>1062</v>
      </c>
      <c r="J384" s="17" t="s">
        <v>500</v>
      </c>
      <c r="K384" s="17" t="s">
        <v>1101</v>
      </c>
      <c r="L384" s="17" t="s">
        <v>521</v>
      </c>
      <c r="M384" s="17" t="s">
        <v>502</v>
      </c>
      <c r="N384" s="17" t="s">
        <v>503</v>
      </c>
      <c r="O384" s="17"/>
      <c r="P384" s="17"/>
      <c r="Q384" s="17"/>
      <c r="R384" s="17"/>
      <c r="S384" s="17"/>
    </row>
    <row r="385" customFormat="1" spans="1:19">
      <c r="A385" s="17" t="s">
        <v>1102</v>
      </c>
      <c r="B385" s="17" t="s">
        <v>1061</v>
      </c>
      <c r="C385" s="17" t="str">
        <f t="shared" si="8"/>
        <v>0XF1</v>
      </c>
      <c r="D385" s="17">
        <v>241</v>
      </c>
      <c r="E385" s="17">
        <v>1</v>
      </c>
      <c r="F385" s="17">
        <v>0</v>
      </c>
      <c r="G385" s="17">
        <v>0</v>
      </c>
      <c r="H385" s="17">
        <v>16</v>
      </c>
      <c r="I385" s="17" t="s">
        <v>1062</v>
      </c>
      <c r="J385" s="17" t="s">
        <v>500</v>
      </c>
      <c r="K385" s="17" t="s">
        <v>1102</v>
      </c>
      <c r="L385" s="17" t="s">
        <v>523</v>
      </c>
      <c r="M385" s="17" t="s">
        <v>502</v>
      </c>
      <c r="N385" s="17" t="s">
        <v>503</v>
      </c>
      <c r="O385" s="17"/>
      <c r="P385" s="17"/>
      <c r="Q385" s="17"/>
      <c r="R385" s="17"/>
      <c r="S385" s="17"/>
    </row>
    <row r="386" customFormat="1" spans="1:19">
      <c r="A386" s="17" t="s">
        <v>1103</v>
      </c>
      <c r="B386" s="17" t="s">
        <v>1061</v>
      </c>
      <c r="C386" s="17" t="str">
        <f t="shared" si="8"/>
        <v>0XF2</v>
      </c>
      <c r="D386" s="17">
        <v>242</v>
      </c>
      <c r="E386" s="17">
        <v>1</v>
      </c>
      <c r="F386" s="17">
        <v>0</v>
      </c>
      <c r="G386" s="17">
        <v>0</v>
      </c>
      <c r="H386" s="17">
        <v>16</v>
      </c>
      <c r="I386" s="17" t="s">
        <v>1062</v>
      </c>
      <c r="J386" s="17" t="s">
        <v>500</v>
      </c>
      <c r="K386" s="17" t="s">
        <v>1103</v>
      </c>
      <c r="L386" s="17" t="s">
        <v>525</v>
      </c>
      <c r="M386" s="17" t="s">
        <v>502</v>
      </c>
      <c r="N386" s="17" t="s">
        <v>503</v>
      </c>
      <c r="O386" s="17"/>
      <c r="P386" s="17"/>
      <c r="Q386" s="17"/>
      <c r="R386" s="17"/>
      <c r="S386" s="17"/>
    </row>
    <row r="387" customFormat="1" spans="1:19">
      <c r="A387" s="17" t="s">
        <v>1104</v>
      </c>
      <c r="B387" s="17" t="s">
        <v>1061</v>
      </c>
      <c r="C387" s="17" t="str">
        <f t="shared" si="8"/>
        <v>0XF3</v>
      </c>
      <c r="D387" s="17">
        <v>243</v>
      </c>
      <c r="E387" s="17">
        <v>1</v>
      </c>
      <c r="F387" s="17">
        <v>0</v>
      </c>
      <c r="G387" s="17">
        <v>0</v>
      </c>
      <c r="H387" s="17">
        <v>16</v>
      </c>
      <c r="I387" s="17" t="s">
        <v>1062</v>
      </c>
      <c r="J387" s="17" t="s">
        <v>500</v>
      </c>
      <c r="K387" s="17" t="s">
        <v>1104</v>
      </c>
      <c r="L387" s="17" t="s">
        <v>527</v>
      </c>
      <c r="M387" s="17" t="s">
        <v>502</v>
      </c>
      <c r="N387" s="17" t="s">
        <v>503</v>
      </c>
      <c r="O387" s="17"/>
      <c r="P387" s="17"/>
      <c r="Q387" s="17"/>
      <c r="R387" s="17"/>
      <c r="S387" s="17"/>
    </row>
    <row r="388" customFormat="1" spans="1:19">
      <c r="A388" s="17" t="s">
        <v>1105</v>
      </c>
      <c r="B388" s="17" t="s">
        <v>1061</v>
      </c>
      <c r="C388" s="17" t="str">
        <f t="shared" si="8"/>
        <v>0XF4</v>
      </c>
      <c r="D388" s="17">
        <v>244</v>
      </c>
      <c r="E388" s="17">
        <v>1</v>
      </c>
      <c r="F388" s="17">
        <v>0</v>
      </c>
      <c r="G388" s="17">
        <v>0</v>
      </c>
      <c r="H388" s="17">
        <v>16</v>
      </c>
      <c r="I388" s="17" t="s">
        <v>1062</v>
      </c>
      <c r="J388" s="17" t="s">
        <v>500</v>
      </c>
      <c r="K388" s="17" t="s">
        <v>1105</v>
      </c>
      <c r="L388" s="17" t="s">
        <v>529</v>
      </c>
      <c r="M388" s="17" t="s">
        <v>502</v>
      </c>
      <c r="N388" s="17" t="s">
        <v>503</v>
      </c>
      <c r="O388" s="17"/>
      <c r="P388" s="17"/>
      <c r="Q388" s="17"/>
      <c r="R388" s="17"/>
      <c r="S388" s="17"/>
    </row>
    <row r="389" customFormat="1" spans="1:19">
      <c r="A389" s="17" t="s">
        <v>1106</v>
      </c>
      <c r="B389" s="17" t="s">
        <v>1061</v>
      </c>
      <c r="C389" s="17" t="str">
        <f t="shared" si="8"/>
        <v>0XF5</v>
      </c>
      <c r="D389" s="17">
        <v>245</v>
      </c>
      <c r="E389" s="17">
        <v>1</v>
      </c>
      <c r="F389" s="17">
        <v>0</v>
      </c>
      <c r="G389" s="17">
        <v>0</v>
      </c>
      <c r="H389" s="17">
        <v>16</v>
      </c>
      <c r="I389" s="17" t="s">
        <v>1062</v>
      </c>
      <c r="J389" s="17" t="s">
        <v>500</v>
      </c>
      <c r="K389" s="17" t="s">
        <v>1106</v>
      </c>
      <c r="L389" s="17" t="s">
        <v>531</v>
      </c>
      <c r="M389" s="17" t="s">
        <v>502</v>
      </c>
      <c r="N389" s="17" t="s">
        <v>503</v>
      </c>
      <c r="O389" s="17"/>
      <c r="P389" s="17"/>
      <c r="Q389" s="17"/>
      <c r="R389" s="17"/>
      <c r="S389" s="17"/>
    </row>
    <row r="390" spans="1:14">
      <c r="A390" s="17" t="s">
        <v>1107</v>
      </c>
      <c r="B390" s="17" t="s">
        <v>1061</v>
      </c>
      <c r="C390" s="17" t="str">
        <f t="shared" si="8"/>
        <v>0XF6</v>
      </c>
      <c r="D390" s="17">
        <v>246</v>
      </c>
      <c r="E390" s="17">
        <v>1</v>
      </c>
      <c r="F390" s="17">
        <v>0</v>
      </c>
      <c r="G390" s="17">
        <v>0</v>
      </c>
      <c r="H390" s="17">
        <v>16</v>
      </c>
      <c r="I390" s="17" t="s">
        <v>1062</v>
      </c>
      <c r="J390" s="17" t="s">
        <v>500</v>
      </c>
      <c r="K390" s="17" t="s">
        <v>1107</v>
      </c>
      <c r="L390" s="17" t="s">
        <v>533</v>
      </c>
      <c r="M390" s="17" t="s">
        <v>502</v>
      </c>
      <c r="N390" s="17" t="s">
        <v>503</v>
      </c>
    </row>
    <row r="391" spans="1:14">
      <c r="A391" s="17" t="s">
        <v>1108</v>
      </c>
      <c r="B391" s="17" t="s">
        <v>1061</v>
      </c>
      <c r="C391" s="17" t="str">
        <f t="shared" si="8"/>
        <v>0XF7</v>
      </c>
      <c r="D391" s="17">
        <v>247</v>
      </c>
      <c r="E391" s="17">
        <v>1</v>
      </c>
      <c r="F391" s="17">
        <v>0</v>
      </c>
      <c r="G391" s="17">
        <v>0</v>
      </c>
      <c r="H391" s="17">
        <v>16</v>
      </c>
      <c r="I391" s="17" t="s">
        <v>1062</v>
      </c>
      <c r="J391" s="17" t="s">
        <v>500</v>
      </c>
      <c r="K391" s="17" t="s">
        <v>1108</v>
      </c>
      <c r="L391" s="17" t="s">
        <v>535</v>
      </c>
      <c r="M391" s="17" t="s">
        <v>536</v>
      </c>
      <c r="N391" s="17" t="s">
        <v>537</v>
      </c>
    </row>
    <row r="392" spans="1:14">
      <c r="A392" s="17" t="s">
        <v>1109</v>
      </c>
      <c r="B392" s="17" t="s">
        <v>1061</v>
      </c>
      <c r="C392" s="17" t="str">
        <f t="shared" si="8"/>
        <v>0XF8</v>
      </c>
      <c r="D392" s="17">
        <v>248</v>
      </c>
      <c r="E392" s="17">
        <v>1</v>
      </c>
      <c r="F392" s="17">
        <v>0</v>
      </c>
      <c r="G392" s="17">
        <v>0</v>
      </c>
      <c r="H392" s="17">
        <v>16</v>
      </c>
      <c r="I392" s="17" t="s">
        <v>1062</v>
      </c>
      <c r="J392" s="17" t="s">
        <v>500</v>
      </c>
      <c r="K392" s="17" t="s">
        <v>1109</v>
      </c>
      <c r="L392" s="17" t="s">
        <v>539</v>
      </c>
      <c r="M392" s="17" t="s">
        <v>536</v>
      </c>
      <c r="N392" s="17" t="s">
        <v>537</v>
      </c>
    </row>
    <row r="393" spans="1:14">
      <c r="A393" s="17" t="s">
        <v>1110</v>
      </c>
      <c r="B393" s="17" t="s">
        <v>1061</v>
      </c>
      <c r="C393" s="17" t="str">
        <f t="shared" si="8"/>
        <v>0XF9</v>
      </c>
      <c r="D393" s="17">
        <v>249</v>
      </c>
      <c r="E393" s="17">
        <v>1</v>
      </c>
      <c r="F393" s="17">
        <v>0</v>
      </c>
      <c r="G393" s="17">
        <v>0</v>
      </c>
      <c r="H393" s="17">
        <v>16</v>
      </c>
      <c r="I393" s="17" t="s">
        <v>1062</v>
      </c>
      <c r="J393" s="17" t="s">
        <v>500</v>
      </c>
      <c r="K393" s="17" t="s">
        <v>1110</v>
      </c>
      <c r="L393" s="17" t="s">
        <v>541</v>
      </c>
      <c r="M393" s="17" t="s">
        <v>536</v>
      </c>
      <c r="N393" s="17" t="s">
        <v>537</v>
      </c>
    </row>
    <row r="394" spans="1:14">
      <c r="A394" s="17" t="s">
        <v>1111</v>
      </c>
      <c r="B394" s="17" t="s">
        <v>1061</v>
      </c>
      <c r="C394" s="17" t="str">
        <f t="shared" si="8"/>
        <v>0XFA</v>
      </c>
      <c r="D394" s="17">
        <v>250</v>
      </c>
      <c r="E394" s="17">
        <v>1</v>
      </c>
      <c r="F394" s="17">
        <v>0</v>
      </c>
      <c r="G394" s="17">
        <v>0</v>
      </c>
      <c r="H394" s="17">
        <v>16</v>
      </c>
      <c r="I394" s="17" t="s">
        <v>1062</v>
      </c>
      <c r="J394" s="17" t="s">
        <v>500</v>
      </c>
      <c r="K394" s="17" t="s">
        <v>1111</v>
      </c>
      <c r="L394" s="17" t="s">
        <v>543</v>
      </c>
      <c r="M394" s="17" t="s">
        <v>536</v>
      </c>
      <c r="N394" s="17" t="s">
        <v>537</v>
      </c>
    </row>
    <row r="395" spans="1:14">
      <c r="A395" s="17" t="s">
        <v>1112</v>
      </c>
      <c r="B395" s="17" t="s">
        <v>1061</v>
      </c>
      <c r="C395" s="17" t="str">
        <f t="shared" si="8"/>
        <v>0XFB</v>
      </c>
      <c r="D395" s="17">
        <v>251</v>
      </c>
      <c r="E395" s="17">
        <v>1</v>
      </c>
      <c r="F395" s="17">
        <v>0</v>
      </c>
      <c r="G395" s="17">
        <v>0</v>
      </c>
      <c r="H395" s="17">
        <v>16</v>
      </c>
      <c r="I395" s="17" t="s">
        <v>1062</v>
      </c>
      <c r="J395" s="17" t="s">
        <v>500</v>
      </c>
      <c r="K395" s="17" t="s">
        <v>1112</v>
      </c>
      <c r="L395" s="17" t="s">
        <v>545</v>
      </c>
      <c r="M395" s="17" t="s">
        <v>546</v>
      </c>
      <c r="N395" s="17" t="s">
        <v>547</v>
      </c>
    </row>
    <row r="396" spans="1:14">
      <c r="A396" s="17" t="s">
        <v>1113</v>
      </c>
      <c r="B396" s="17" t="s">
        <v>1061</v>
      </c>
      <c r="C396" s="17" t="str">
        <f t="shared" si="8"/>
        <v>0XFC</v>
      </c>
      <c r="D396" s="17">
        <v>252</v>
      </c>
      <c r="E396" s="17">
        <v>1</v>
      </c>
      <c r="F396" s="17">
        <v>0</v>
      </c>
      <c r="G396" s="17">
        <v>0</v>
      </c>
      <c r="H396" s="17">
        <v>16</v>
      </c>
      <c r="I396" s="17" t="s">
        <v>1062</v>
      </c>
      <c r="J396" s="17" t="s">
        <v>500</v>
      </c>
      <c r="K396" s="17" t="s">
        <v>1113</v>
      </c>
      <c r="L396" s="17" t="s">
        <v>549</v>
      </c>
      <c r="M396" s="17" t="s">
        <v>550</v>
      </c>
      <c r="N396" s="17" t="s">
        <v>547</v>
      </c>
    </row>
    <row r="397" spans="1:14">
      <c r="A397" s="17" t="s">
        <v>1114</v>
      </c>
      <c r="B397" s="17" t="s">
        <v>1061</v>
      </c>
      <c r="C397" s="17" t="str">
        <f t="shared" si="8"/>
        <v>0XFD</v>
      </c>
      <c r="D397" s="17">
        <v>253</v>
      </c>
      <c r="E397" s="17">
        <v>1</v>
      </c>
      <c r="F397" s="17">
        <v>0</v>
      </c>
      <c r="G397" s="17">
        <v>0</v>
      </c>
      <c r="H397" s="17">
        <v>16</v>
      </c>
      <c r="I397" s="17" t="s">
        <v>1062</v>
      </c>
      <c r="J397" s="17" t="s">
        <v>500</v>
      </c>
      <c r="K397" s="17" t="s">
        <v>1114</v>
      </c>
      <c r="L397" s="17" t="s">
        <v>552</v>
      </c>
      <c r="M397" s="17" t="s">
        <v>546</v>
      </c>
      <c r="N397" s="17" t="s">
        <v>553</v>
      </c>
    </row>
    <row r="398" spans="1:14">
      <c r="A398" s="17" t="s">
        <v>1115</v>
      </c>
      <c r="B398" s="17" t="s">
        <v>1061</v>
      </c>
      <c r="C398" s="17" t="str">
        <f t="shared" si="8"/>
        <v>0XFE</v>
      </c>
      <c r="D398" s="17">
        <v>254</v>
      </c>
      <c r="E398" s="17">
        <v>1</v>
      </c>
      <c r="F398" s="17">
        <v>0</v>
      </c>
      <c r="G398" s="17">
        <v>0</v>
      </c>
      <c r="H398" s="17">
        <v>16</v>
      </c>
      <c r="I398" s="17" t="s">
        <v>1062</v>
      </c>
      <c r="J398" s="17" t="s">
        <v>500</v>
      </c>
      <c r="K398" s="17" t="s">
        <v>1115</v>
      </c>
      <c r="L398" s="17" t="s">
        <v>555</v>
      </c>
      <c r="M398" s="17" t="s">
        <v>550</v>
      </c>
      <c r="N398" s="17" t="s">
        <v>553</v>
      </c>
    </row>
    <row r="399" spans="1:14">
      <c r="A399" s="17" t="s">
        <v>1116</v>
      </c>
      <c r="B399" s="17" t="s">
        <v>1061</v>
      </c>
      <c r="C399" s="17" t="str">
        <f t="shared" si="8"/>
        <v>0XFF</v>
      </c>
      <c r="D399" s="17">
        <v>255</v>
      </c>
      <c r="E399" s="17">
        <v>1</v>
      </c>
      <c r="F399" s="17">
        <v>1</v>
      </c>
      <c r="G399" s="17">
        <v>0</v>
      </c>
      <c r="H399" s="17">
        <v>16</v>
      </c>
      <c r="I399" s="17" t="s">
        <v>1062</v>
      </c>
      <c r="J399" s="17" t="s">
        <v>66</v>
      </c>
      <c r="K399" s="17" t="s">
        <v>1116</v>
      </c>
      <c r="L399" s="17" t="s">
        <v>557</v>
      </c>
      <c r="M399" s="17" t="s">
        <v>558</v>
      </c>
      <c r="N399" s="17" t="s">
        <v>559</v>
      </c>
    </row>
  </sheetData>
  <autoFilter ref="A1:O399">
    <extLst/>
  </autoFilter>
  <sortState ref="A1:S409">
    <sortCondition ref="I1:I409"/>
    <sortCondition ref="D1:D40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0"/>
  <sheetViews>
    <sheetView workbookViewId="0">
      <selection activeCell="L6" sqref="L6:M6"/>
    </sheetView>
  </sheetViews>
  <sheetFormatPr defaultColWidth="9" defaultRowHeight="14.25"/>
  <cols>
    <col min="1" max="1" width="14.125" customWidth="1"/>
    <col min="3" max="3" width="6.125" customWidth="1"/>
    <col min="4" max="4" width="6.75" customWidth="1"/>
    <col min="5" max="5" width="7.125" customWidth="1"/>
    <col min="6" max="6" width="7.625" customWidth="1"/>
    <col min="7" max="7" width="7" customWidth="1"/>
    <col min="8" max="8" width="9.625" customWidth="1"/>
    <col min="9" max="9" width="9.75" customWidth="1"/>
    <col min="11" max="11" width="11" customWidth="1"/>
  </cols>
  <sheetData>
    <row r="1" ht="23.25" spans="1:51">
      <c r="A1" s="1" t="s">
        <v>1117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4"/>
      <c r="U1" s="14"/>
      <c r="V1" s="14"/>
      <c r="W1" s="14"/>
      <c r="X1" s="14"/>
      <c r="Y1" s="14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23.25" spans="1:51">
      <c r="A2" s="1" t="s">
        <v>1118</v>
      </c>
      <c r="B2" s="1"/>
      <c r="C2" s="1"/>
      <c r="D2" s="1"/>
      <c r="E2" s="1"/>
      <c r="F2" s="1"/>
      <c r="G2" s="1"/>
      <c r="H2" s="1"/>
      <c r="I2" s="1"/>
      <c r="J2" s="6"/>
      <c r="K2" s="1" t="s">
        <v>1119</v>
      </c>
      <c r="L2" s="1"/>
      <c r="M2" s="1"/>
      <c r="N2" s="1"/>
      <c r="O2" s="1"/>
      <c r="P2" s="1"/>
      <c r="Q2" s="1"/>
      <c r="R2" s="1"/>
      <c r="S2" s="1"/>
      <c r="T2" s="14"/>
      <c r="U2" s="14"/>
      <c r="V2" s="14"/>
      <c r="W2" s="14"/>
      <c r="X2" s="14"/>
      <c r="Y2" s="14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>
      <c r="A3" s="2"/>
      <c r="B3" s="2" t="s">
        <v>1120</v>
      </c>
      <c r="C3" s="2" t="s">
        <v>1121</v>
      </c>
      <c r="D3" s="2" t="s">
        <v>1122</v>
      </c>
      <c r="E3" s="2" t="s">
        <v>1123</v>
      </c>
      <c r="F3" s="2" t="s">
        <v>1122</v>
      </c>
      <c r="G3" s="2" t="s">
        <v>1123</v>
      </c>
      <c r="H3" s="2" t="s">
        <v>1122</v>
      </c>
      <c r="I3" s="2" t="s">
        <v>1123</v>
      </c>
      <c r="J3" s="6"/>
      <c r="K3" s="2" t="s">
        <v>1124</v>
      </c>
      <c r="L3" s="6">
        <v>1</v>
      </c>
      <c r="M3" s="6"/>
      <c r="N3" s="6"/>
      <c r="O3" s="6"/>
      <c r="P3" s="5" t="s">
        <v>1125</v>
      </c>
      <c r="Q3" s="5"/>
      <c r="R3" s="5"/>
      <c r="S3" s="5"/>
      <c r="T3" s="14"/>
      <c r="U3" s="14"/>
      <c r="V3" s="14"/>
      <c r="W3" s="14"/>
      <c r="X3" s="14"/>
      <c r="Y3" s="14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>
      <c r="A4" s="2" t="s">
        <v>1126</v>
      </c>
      <c r="B4" s="3">
        <v>8010</v>
      </c>
      <c r="C4" s="2">
        <f>HEX2DEC(B4)</f>
        <v>32784</v>
      </c>
      <c r="D4" s="2">
        <f>_xlfn.BITRSHIFT(C4,8)</f>
        <v>128</v>
      </c>
      <c r="E4" s="2">
        <f>_xlfn.BITAND(C4,"255")</f>
        <v>16</v>
      </c>
      <c r="F4" s="2" t="str">
        <f>DEC2HEX(D4,2)</f>
        <v>80</v>
      </c>
      <c r="G4" s="2" t="str">
        <f>DEC2HEX(E4,2)</f>
        <v>10</v>
      </c>
      <c r="H4" s="2" t="str">
        <f>HEX2BIN(F4,8)</f>
        <v>10000000</v>
      </c>
      <c r="I4" s="2" t="str">
        <f>HEX2BIN(G4,8)</f>
        <v>00010000</v>
      </c>
      <c r="J4" s="6"/>
      <c r="K4" s="2" t="s">
        <v>1127</v>
      </c>
      <c r="L4" s="10">
        <v>0</v>
      </c>
      <c r="M4" s="10"/>
      <c r="N4" s="6" t="str">
        <f>BIN2HEX(L4)</f>
        <v>0</v>
      </c>
      <c r="O4" s="6"/>
      <c r="P4" s="5" t="s">
        <v>1128</v>
      </c>
      <c r="Q4" s="5"/>
      <c r="R4" s="5"/>
      <c r="S4" s="5"/>
      <c r="T4" s="14"/>
      <c r="U4" s="14"/>
      <c r="V4" s="14"/>
      <c r="W4" s="14"/>
      <c r="X4" s="14"/>
      <c r="Y4" s="14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>
      <c r="A5" s="2" t="s">
        <v>1129</v>
      </c>
      <c r="B5" s="4">
        <f>_xlfn.BITOR(_xlfn.BITLSHIFT(B7,8),B10)</f>
        <v>4</v>
      </c>
      <c r="C5" s="4"/>
      <c r="D5" s="4" t="str">
        <f>DEC2HEX(B5,3)</f>
        <v>004</v>
      </c>
      <c r="E5" s="4"/>
      <c r="F5" s="5" t="s">
        <v>1130</v>
      </c>
      <c r="G5" s="5"/>
      <c r="H5" s="5"/>
      <c r="I5" s="5"/>
      <c r="J5" s="6"/>
      <c r="K5" s="2" t="s">
        <v>1131</v>
      </c>
      <c r="L5" s="10">
        <v>0</v>
      </c>
      <c r="M5" s="10"/>
      <c r="N5" s="6" t="str">
        <f>BIN2HEX(L5)</f>
        <v>0</v>
      </c>
      <c r="O5" s="6"/>
      <c r="P5" s="5" t="s">
        <v>1132</v>
      </c>
      <c r="Q5" s="5"/>
      <c r="R5" s="5"/>
      <c r="S5" s="5"/>
      <c r="T5" s="14"/>
      <c r="U5" s="14"/>
      <c r="V5" s="14"/>
      <c r="W5" s="14"/>
      <c r="X5" s="14"/>
      <c r="Y5" s="14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>
      <c r="A6" s="2" t="s">
        <v>1124</v>
      </c>
      <c r="B6" s="6">
        <v>1</v>
      </c>
      <c r="C6" s="6"/>
      <c r="D6" s="6"/>
      <c r="E6" s="6"/>
      <c r="F6" s="5" t="s">
        <v>1125</v>
      </c>
      <c r="G6" s="5"/>
      <c r="H6" s="5"/>
      <c r="I6" s="5"/>
      <c r="J6" s="6"/>
      <c r="K6" s="2" t="s">
        <v>1133</v>
      </c>
      <c r="L6" s="11">
        <v>0</v>
      </c>
      <c r="M6" s="11"/>
      <c r="N6" s="6" t="str">
        <f>BIN2HEX(L6)</f>
        <v>0</v>
      </c>
      <c r="O6" s="6"/>
      <c r="P6" s="5" t="s">
        <v>1134</v>
      </c>
      <c r="Q6" s="5"/>
      <c r="R6" s="5"/>
      <c r="S6" s="5"/>
      <c r="T6" s="14"/>
      <c r="U6" s="14"/>
      <c r="V6" s="14"/>
      <c r="W6" s="14"/>
      <c r="X6" s="14"/>
      <c r="Y6" s="14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>
      <c r="A7" s="2" t="s">
        <v>1127</v>
      </c>
      <c r="B7" s="6">
        <f>_xlfn.BITAND(_xlfn.BITRSHIFT(D4,6),1)</f>
        <v>0</v>
      </c>
      <c r="C7" s="6"/>
      <c r="D7" s="4" t="str">
        <f>DEC2HEX(B7,1)</f>
        <v>0</v>
      </c>
      <c r="E7" s="4"/>
      <c r="F7" s="5" t="s">
        <v>1128</v>
      </c>
      <c r="G7" s="5"/>
      <c r="H7" s="5"/>
      <c r="I7" s="5"/>
      <c r="J7" s="6"/>
      <c r="K7" s="2" t="s">
        <v>1135</v>
      </c>
      <c r="L7" s="12" t="s">
        <v>1136</v>
      </c>
      <c r="M7" s="12"/>
      <c r="N7" s="6">
        <f>HEX2DEC(L7)</f>
        <v>247</v>
      </c>
      <c r="O7" s="6"/>
      <c r="P7" s="5" t="s">
        <v>1137</v>
      </c>
      <c r="Q7" s="5"/>
      <c r="R7" s="5"/>
      <c r="S7" s="5"/>
      <c r="T7" s="14"/>
      <c r="U7" s="14"/>
      <c r="V7" s="14"/>
      <c r="W7" s="14"/>
      <c r="X7" s="14"/>
      <c r="Y7" s="14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>
      <c r="A8" s="2" t="s">
        <v>1131</v>
      </c>
      <c r="B8" s="6">
        <f>_xlfn.BITAND(_xlfn.BITRSHIFT(D4,5),1)</f>
        <v>0</v>
      </c>
      <c r="C8" s="6"/>
      <c r="D8" s="4">
        <f>B8</f>
        <v>0</v>
      </c>
      <c r="E8" s="4"/>
      <c r="F8" s="5" t="s">
        <v>1132</v>
      </c>
      <c r="G8" s="5"/>
      <c r="H8" s="5"/>
      <c r="I8" s="5"/>
      <c r="J8" s="6"/>
      <c r="K8" s="2" t="s">
        <v>1138</v>
      </c>
      <c r="L8" s="6">
        <v>0</v>
      </c>
      <c r="M8" s="6"/>
      <c r="N8" s="6"/>
      <c r="O8" s="6"/>
      <c r="P8" s="5" t="s">
        <v>1125</v>
      </c>
      <c r="Q8" s="5"/>
      <c r="R8" s="5"/>
      <c r="S8" s="5"/>
      <c r="T8" s="14"/>
      <c r="U8" s="14"/>
      <c r="V8" s="14"/>
      <c r="W8" s="14"/>
      <c r="X8" s="14"/>
      <c r="Y8" s="14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>
      <c r="A9" s="2" t="s">
        <v>1133</v>
      </c>
      <c r="B9" s="6">
        <f>_xlfn.BITAND(_xlfn.BITRSHIFT(D4,2),7)</f>
        <v>0</v>
      </c>
      <c r="C9" s="6"/>
      <c r="D9" s="4" t="str">
        <f>DEC2BIN(B9,3)</f>
        <v>000</v>
      </c>
      <c r="E9" s="4"/>
      <c r="F9" s="5" t="s">
        <v>1134</v>
      </c>
      <c r="G9" s="5"/>
      <c r="H9" s="5"/>
      <c r="I9" s="5"/>
      <c r="J9" s="6"/>
      <c r="K9" s="2" t="s">
        <v>1139</v>
      </c>
      <c r="L9" s="6">
        <v>0</v>
      </c>
      <c r="M9" s="6"/>
      <c r="N9" s="6"/>
      <c r="O9" s="6"/>
      <c r="P9" s="5" t="s">
        <v>1125</v>
      </c>
      <c r="Q9" s="5"/>
      <c r="R9" s="5"/>
      <c r="S9" s="5"/>
      <c r="T9" s="14"/>
      <c r="U9" s="14"/>
      <c r="V9" s="14"/>
      <c r="W9" s="14"/>
      <c r="X9" s="14"/>
      <c r="Y9" s="14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>
      <c r="A10" s="2" t="s">
        <v>1135</v>
      </c>
      <c r="B10" s="6">
        <f>_xlfn.BITAND(_xlfn.BITRSHIFT(C4,2),255)</f>
        <v>4</v>
      </c>
      <c r="C10" s="6"/>
      <c r="D10" s="4" t="str">
        <f>DEC2HEX(B10,2)</f>
        <v>04</v>
      </c>
      <c r="E10" s="4"/>
      <c r="F10" s="5" t="s">
        <v>1137</v>
      </c>
      <c r="G10" s="5"/>
      <c r="H10" s="5"/>
      <c r="I10" s="5"/>
      <c r="J10" s="6"/>
      <c r="K10" s="2" t="s">
        <v>1129</v>
      </c>
      <c r="L10" s="4">
        <f>_xlfn.BITOR(_xlfn.BITLSHIFT(L4,8),N7)</f>
        <v>247</v>
      </c>
      <c r="M10" s="4"/>
      <c r="N10" s="4" t="str">
        <f>DEC2HEX(L10,3)</f>
        <v>0F7</v>
      </c>
      <c r="O10" s="4"/>
      <c r="P10" s="5" t="s">
        <v>1130</v>
      </c>
      <c r="Q10" s="5"/>
      <c r="R10" s="5"/>
      <c r="S10" s="5"/>
      <c r="T10" s="14"/>
      <c r="U10" s="14"/>
      <c r="V10" s="14"/>
      <c r="W10" s="14"/>
      <c r="X10" s="14"/>
      <c r="Y10" s="14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>
      <c r="A11" s="2" t="s">
        <v>1138</v>
      </c>
      <c r="B11" s="6">
        <v>0</v>
      </c>
      <c r="C11" s="6"/>
      <c r="D11" s="6"/>
      <c r="E11" s="6"/>
      <c r="F11" s="5" t="s">
        <v>1125</v>
      </c>
      <c r="G11" s="5"/>
      <c r="H11" s="5"/>
      <c r="I11" s="5"/>
      <c r="J11" s="6"/>
      <c r="K11" s="2"/>
      <c r="L11" s="2" t="s">
        <v>1120</v>
      </c>
      <c r="M11" s="2" t="s">
        <v>1121</v>
      </c>
      <c r="N11" s="2" t="s">
        <v>1122</v>
      </c>
      <c r="O11" s="2" t="s">
        <v>1123</v>
      </c>
      <c r="P11" s="2" t="s">
        <v>1122</v>
      </c>
      <c r="Q11" s="2" t="s">
        <v>1123</v>
      </c>
      <c r="R11" s="2" t="s">
        <v>1122</v>
      </c>
      <c r="S11" s="2" t="s">
        <v>1123</v>
      </c>
      <c r="T11" s="14"/>
      <c r="U11" s="14"/>
      <c r="V11" s="14"/>
      <c r="W11" s="14"/>
      <c r="X11" s="14"/>
      <c r="Y11" s="14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>
      <c r="A12" s="2" t="s">
        <v>1139</v>
      </c>
      <c r="B12" s="6">
        <v>0</v>
      </c>
      <c r="C12" s="6"/>
      <c r="D12" s="6"/>
      <c r="E12" s="6"/>
      <c r="F12" s="5" t="s">
        <v>1125</v>
      </c>
      <c r="G12" s="5"/>
      <c r="H12" s="5"/>
      <c r="I12" s="5"/>
      <c r="J12" s="6"/>
      <c r="K12" s="2" t="s">
        <v>1126</v>
      </c>
      <c r="L12" s="13" t="str">
        <f>DEC2HEX(M12)</f>
        <v>83DC</v>
      </c>
      <c r="M12" s="2">
        <f>_xlfn.BITOR(_xlfn.BITOR(_xlfn.BITOR(_xlfn.BITOR(_xlfn.BITOR(_xlfn.BITOR(_xlfn.BITLSHIFT(L3,15),_xlfn.BITLSHIFT(L4,14)),_xlfn.BITLSHIFT(L5,13)),_xlfn.BITLSHIFT(N6,10)),_xlfn.BITLSHIFT(N7,2)),_xlfn.BITLSHIFT(L8,1)),L9)</f>
        <v>33756</v>
      </c>
      <c r="N12" s="2">
        <f>_xlfn.BITRSHIFT(M12,8)</f>
        <v>131</v>
      </c>
      <c r="O12" s="2">
        <f>_xlfn.BITAND(M12,"255")</f>
        <v>220</v>
      </c>
      <c r="P12" s="2" t="str">
        <f>DEC2HEX(N12,2)</f>
        <v>83</v>
      </c>
      <c r="Q12" s="2" t="str">
        <f>DEC2HEX(O12,2)</f>
        <v>DC</v>
      </c>
      <c r="R12" s="2" t="str">
        <f>HEX2BIN(P12,8)</f>
        <v>10000011</v>
      </c>
      <c r="S12" s="2" t="str">
        <f>HEX2BIN(Q12,8)</f>
        <v>11011100</v>
      </c>
      <c r="T12" s="14"/>
      <c r="U12" s="14"/>
      <c r="V12" s="14"/>
      <c r="W12" s="14"/>
      <c r="X12" s="14"/>
      <c r="Y12" s="14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4"/>
      <c r="U13" s="14"/>
      <c r="V13" s="14"/>
      <c r="W13" s="14"/>
      <c r="X13" s="14"/>
      <c r="Y13" s="14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ht="15.75" customHeight="1" spans="1:51">
      <c r="A14" s="7" t="s">
        <v>1140</v>
      </c>
      <c r="B14" s="7"/>
      <c r="C14" s="7"/>
      <c r="D14" s="7"/>
      <c r="E14" s="7"/>
      <c r="F14" s="7"/>
      <c r="G14" s="7"/>
      <c r="H14" s="7"/>
      <c r="I14" s="7"/>
      <c r="J14" s="6"/>
      <c r="K14" s="7" t="s">
        <v>1141</v>
      </c>
      <c r="L14" s="7"/>
      <c r="M14" s="7"/>
      <c r="N14" s="7"/>
      <c r="O14" s="7"/>
      <c r="P14" s="7"/>
      <c r="Q14" s="7"/>
      <c r="R14" s="7"/>
      <c r="S14" s="7"/>
      <c r="T14" s="14"/>
      <c r="U14" s="14"/>
      <c r="V14" s="14"/>
      <c r="W14" s="14"/>
      <c r="X14" s="14"/>
      <c r="Y14" s="14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>
      <c r="A15" s="7"/>
      <c r="B15" s="7"/>
      <c r="C15" s="7"/>
      <c r="D15" s="7"/>
      <c r="E15" s="7"/>
      <c r="F15" s="7"/>
      <c r="G15" s="7"/>
      <c r="H15" s="7"/>
      <c r="I15" s="7"/>
      <c r="J15" s="6"/>
      <c r="K15" s="7"/>
      <c r="L15" s="7"/>
      <c r="M15" s="7"/>
      <c r="N15" s="7"/>
      <c r="O15" s="7"/>
      <c r="P15" s="7"/>
      <c r="Q15" s="7"/>
      <c r="R15" s="7"/>
      <c r="S15" s="7"/>
      <c r="T15" s="14"/>
      <c r="U15" s="14"/>
      <c r="V15" s="14"/>
      <c r="W15" s="14"/>
      <c r="X15" s="14"/>
      <c r="Y15" s="14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>
      <c r="A16" s="7"/>
      <c r="B16" s="7"/>
      <c r="C16" s="7"/>
      <c r="D16" s="7"/>
      <c r="E16" s="7"/>
      <c r="F16" s="7"/>
      <c r="G16" s="7"/>
      <c r="H16" s="7"/>
      <c r="I16" s="7"/>
      <c r="J16" s="6"/>
      <c r="K16" s="7"/>
      <c r="L16" s="7"/>
      <c r="M16" s="7"/>
      <c r="N16" s="7"/>
      <c r="O16" s="7"/>
      <c r="P16" s="7"/>
      <c r="Q16" s="7"/>
      <c r="R16" s="7"/>
      <c r="S16" s="7"/>
      <c r="T16" s="14"/>
      <c r="U16" s="14"/>
      <c r="V16" s="14"/>
      <c r="W16" s="14"/>
      <c r="X16" s="14"/>
      <c r="Y16" s="14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>
      <c r="A17" s="7"/>
      <c r="B17" s="7"/>
      <c r="C17" s="7"/>
      <c r="D17" s="7"/>
      <c r="E17" s="7"/>
      <c r="F17" s="7"/>
      <c r="G17" s="7"/>
      <c r="H17" s="7"/>
      <c r="I17" s="7"/>
      <c r="J17" s="6"/>
      <c r="K17" s="7"/>
      <c r="L17" s="7"/>
      <c r="M17" s="7"/>
      <c r="N17" s="7"/>
      <c r="O17" s="7"/>
      <c r="P17" s="7"/>
      <c r="Q17" s="7"/>
      <c r="R17" s="7"/>
      <c r="S17" s="7"/>
      <c r="T17" s="14"/>
      <c r="U17" s="14"/>
      <c r="V17" s="14"/>
      <c r="W17" s="14"/>
      <c r="X17" s="14"/>
      <c r="Y17" s="14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>
      <c r="A18" s="7"/>
      <c r="B18" s="7"/>
      <c r="C18" s="7"/>
      <c r="D18" s="7"/>
      <c r="E18" s="7"/>
      <c r="F18" s="7"/>
      <c r="G18" s="7"/>
      <c r="H18" s="7"/>
      <c r="I18" s="7"/>
      <c r="J18" s="6"/>
      <c r="K18" s="7"/>
      <c r="L18" s="7"/>
      <c r="M18" s="7"/>
      <c r="N18" s="7"/>
      <c r="O18" s="7"/>
      <c r="P18" s="7"/>
      <c r="Q18" s="7"/>
      <c r="R18" s="7"/>
      <c r="S18" s="7"/>
      <c r="T18" s="14"/>
      <c r="U18" s="14"/>
      <c r="V18" s="14"/>
      <c r="W18" s="14"/>
      <c r="X18" s="14"/>
      <c r="Y18" s="14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>
      <c r="A19" s="7"/>
      <c r="B19" s="7"/>
      <c r="C19" s="7"/>
      <c r="D19" s="7"/>
      <c r="E19" s="7"/>
      <c r="F19" s="7"/>
      <c r="G19" s="7"/>
      <c r="H19" s="7"/>
      <c r="I19" s="7"/>
      <c r="J19" s="6"/>
      <c r="K19" s="7"/>
      <c r="L19" s="7"/>
      <c r="M19" s="7"/>
      <c r="N19" s="7"/>
      <c r="O19" s="7"/>
      <c r="P19" s="7"/>
      <c r="Q19" s="7"/>
      <c r="R19" s="7"/>
      <c r="S19" s="7"/>
      <c r="T19" s="14"/>
      <c r="U19" s="14"/>
      <c r="V19" s="14"/>
      <c r="W19" s="14"/>
      <c r="X19" s="14"/>
      <c r="Y19" s="14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>
      <c r="A20" s="7"/>
      <c r="B20" s="7"/>
      <c r="C20" s="7"/>
      <c r="D20" s="7"/>
      <c r="E20" s="7"/>
      <c r="F20" s="7"/>
      <c r="G20" s="7"/>
      <c r="H20" s="7"/>
      <c r="I20" s="7"/>
      <c r="J20" s="6"/>
      <c r="K20" s="7"/>
      <c r="L20" s="7"/>
      <c r="M20" s="7"/>
      <c r="N20" s="7"/>
      <c r="O20" s="7"/>
      <c r="P20" s="7"/>
      <c r="Q20" s="7"/>
      <c r="R20" s="7"/>
      <c r="S20" s="7"/>
      <c r="T20" s="14"/>
      <c r="U20" s="14"/>
      <c r="V20" s="14"/>
      <c r="W20" s="14"/>
      <c r="X20" s="14"/>
      <c r="Y20" s="14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>
      <c r="A21" s="7"/>
      <c r="B21" s="7"/>
      <c r="C21" s="7"/>
      <c r="D21" s="7"/>
      <c r="E21" s="7"/>
      <c r="F21" s="7"/>
      <c r="G21" s="7"/>
      <c r="H21" s="7"/>
      <c r="I21" s="7"/>
      <c r="J21" s="6"/>
      <c r="K21" s="7"/>
      <c r="L21" s="7"/>
      <c r="M21" s="7"/>
      <c r="N21" s="7"/>
      <c r="O21" s="7"/>
      <c r="P21" s="7"/>
      <c r="Q21" s="7"/>
      <c r="R21" s="7"/>
      <c r="S21" s="7"/>
      <c r="T21" s="14"/>
      <c r="U21" s="14"/>
      <c r="V21" s="14"/>
      <c r="W21" s="14"/>
      <c r="X21" s="14"/>
      <c r="Y21" s="14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>
      <c r="A22" s="7"/>
      <c r="B22" s="7"/>
      <c r="C22" s="7"/>
      <c r="D22" s="7"/>
      <c r="E22" s="7"/>
      <c r="F22" s="7"/>
      <c r="G22" s="7"/>
      <c r="H22" s="7"/>
      <c r="I22" s="7"/>
      <c r="J22" s="6"/>
      <c r="K22" s="7"/>
      <c r="L22" s="7"/>
      <c r="M22" s="7"/>
      <c r="N22" s="7"/>
      <c r="O22" s="7"/>
      <c r="P22" s="7"/>
      <c r="Q22" s="7"/>
      <c r="R22" s="7"/>
      <c r="S22" s="7"/>
      <c r="T22" s="14"/>
      <c r="U22" s="14"/>
      <c r="V22" s="14"/>
      <c r="W22" s="14"/>
      <c r="X22" s="14"/>
      <c r="Y22" s="14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>
      <c r="A23" s="8" t="s">
        <v>1142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4"/>
      <c r="U23" s="14"/>
      <c r="V23" s="14"/>
      <c r="W23" s="14"/>
      <c r="X23" s="14"/>
      <c r="Y23" s="14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4"/>
      <c r="U24" s="14"/>
      <c r="V24" s="14"/>
      <c r="W24" s="14"/>
      <c r="X24" s="14"/>
      <c r="Y24" s="14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4"/>
      <c r="U25" s="14"/>
      <c r="V25" s="14"/>
      <c r="W25" s="14"/>
      <c r="X25" s="14"/>
      <c r="Y25" s="14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4"/>
      <c r="U26" s="14"/>
      <c r="V26" s="14"/>
      <c r="W26" s="14"/>
      <c r="X26" s="14"/>
      <c r="Y26" s="1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4"/>
      <c r="U27" s="14"/>
      <c r="V27" s="14"/>
      <c r="W27" s="14"/>
      <c r="X27" s="14"/>
      <c r="Y27" s="14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4"/>
      <c r="U28" s="14"/>
      <c r="V28" s="14"/>
      <c r="W28" s="14"/>
      <c r="X28" s="14"/>
      <c r="Y28" s="14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4"/>
      <c r="U29" s="14"/>
      <c r="V29" s="14"/>
      <c r="W29" s="14"/>
      <c r="X29" s="14"/>
      <c r="Y29" s="14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4"/>
      <c r="U30" s="14"/>
      <c r="V30" s="14"/>
      <c r="W30" s="14"/>
      <c r="X30" s="14"/>
      <c r="Y30" s="14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4"/>
      <c r="U31" s="14"/>
      <c r="V31" s="14"/>
      <c r="W31" s="14"/>
      <c r="X31" s="14"/>
      <c r="Y31" s="14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4"/>
      <c r="U32" s="14"/>
      <c r="V32" s="14"/>
      <c r="W32" s="14"/>
      <c r="X32" s="14"/>
      <c r="Y32" s="14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4"/>
      <c r="U33" s="14"/>
      <c r="V33" s="14"/>
      <c r="W33" s="14"/>
      <c r="X33" s="14"/>
      <c r="Y33" s="14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4"/>
      <c r="U34" s="14"/>
      <c r="V34" s="14"/>
      <c r="W34" s="14"/>
      <c r="X34" s="14"/>
      <c r="Y34" s="14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4"/>
      <c r="U35" s="14"/>
      <c r="V35" s="14"/>
      <c r="W35" s="14"/>
      <c r="X35" s="14"/>
      <c r="Y35" s="14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4"/>
      <c r="U36" s="14"/>
      <c r="V36" s="14"/>
      <c r="W36" s="14"/>
      <c r="X36" s="14"/>
      <c r="Y36" s="14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4"/>
      <c r="U37" s="14"/>
      <c r="V37" s="14"/>
      <c r="W37" s="14"/>
      <c r="X37" s="14"/>
      <c r="Y37" s="14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</sheetData>
  <sheetProtection algorithmName="SHA-512" hashValue="OwnuDHsqnz3u/kHFxqAMDqVLI6Hy/4H53F/Q0yBYu+Dzlwj1x/5GqVreJq8Wn0QGkykl4bmUCvAanOs5TeIc2A==" saltValue="MMqQuz+yk8cGAtmVxi2Yvg==" spinCount="100000" sheet="1" selectLockedCells="1" objects="1" scenarios="1"/>
  <mergeCells count="57">
    <mergeCell ref="A1:S1"/>
    <mergeCell ref="A2:I2"/>
    <mergeCell ref="K2:S2"/>
    <mergeCell ref="L3:M3"/>
    <mergeCell ref="N3:O3"/>
    <mergeCell ref="P3:S3"/>
    <mergeCell ref="L4:M4"/>
    <mergeCell ref="N4:O4"/>
    <mergeCell ref="P4:S4"/>
    <mergeCell ref="B5:C5"/>
    <mergeCell ref="D5:E5"/>
    <mergeCell ref="F5:I5"/>
    <mergeCell ref="L5:M5"/>
    <mergeCell ref="N5:O5"/>
    <mergeCell ref="P5:S5"/>
    <mergeCell ref="B6:C6"/>
    <mergeCell ref="D6:E6"/>
    <mergeCell ref="F6:I6"/>
    <mergeCell ref="L6:M6"/>
    <mergeCell ref="N6:O6"/>
    <mergeCell ref="P6:S6"/>
    <mergeCell ref="B7:C7"/>
    <mergeCell ref="D7:E7"/>
    <mergeCell ref="F7:I7"/>
    <mergeCell ref="L7:M7"/>
    <mergeCell ref="N7:O7"/>
    <mergeCell ref="P7:S7"/>
    <mergeCell ref="B8:C8"/>
    <mergeCell ref="D8:E8"/>
    <mergeCell ref="F8:I8"/>
    <mergeCell ref="L8:M8"/>
    <mergeCell ref="N8:O8"/>
    <mergeCell ref="P8:S8"/>
    <mergeCell ref="B9:C9"/>
    <mergeCell ref="D9:E9"/>
    <mergeCell ref="F9:I9"/>
    <mergeCell ref="L9:M9"/>
    <mergeCell ref="N9:O9"/>
    <mergeCell ref="P9:S9"/>
    <mergeCell ref="B10:C10"/>
    <mergeCell ref="D10:E10"/>
    <mergeCell ref="F10:I10"/>
    <mergeCell ref="L10:M10"/>
    <mergeCell ref="N10:O10"/>
    <mergeCell ref="P10:S10"/>
    <mergeCell ref="B11:C11"/>
    <mergeCell ref="D11:E11"/>
    <mergeCell ref="F11:I11"/>
    <mergeCell ref="B12:C12"/>
    <mergeCell ref="D12:E12"/>
    <mergeCell ref="F12:I12"/>
    <mergeCell ref="A13:I13"/>
    <mergeCell ref="K13:S13"/>
    <mergeCell ref="J2:J22"/>
    <mergeCell ref="A14:I22"/>
    <mergeCell ref="K14:S22"/>
    <mergeCell ref="A23:S2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Reg_Table</vt:lpstr>
      <vt:lpstr>示波器寄存器计算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2021-09-17T06:19:00Z</dcterms:created>
  <dcterms:modified xsi:type="dcterms:W3CDTF">2021-10-09T08:41:45Z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0BF4D3B82F2147879CC70CF607913EAE</vt:lpwstr>
  </property>
  <property fmtid="{D5CDD505-2E9C-101B-9397-08002B2CF9AE}" pid="3" name="KSOProductBuildVer">
    <vt:lpwstr>2052-11.1.0.10314</vt:lpwstr>
  </property>
</Properties>
</file>